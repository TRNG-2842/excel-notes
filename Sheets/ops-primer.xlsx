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onathanDeLaCruz\Documents\Revature\excel-primer\demo\workbooks\"/>
    </mc:Choice>
  </mc:AlternateContent>
  <xr:revisionPtr revIDLastSave="0" documentId="13_ncr:1_{AB9C00DA-F8A1-41DB-9FFB-4A264874602F}" xr6:coauthVersionLast="47" xr6:coauthVersionMax="47" xr10:uidLastSave="{00000000-0000-0000-0000-000000000000}"/>
  <bookViews>
    <workbookView xWindow="-105" yWindow="0" windowWidth="23220" windowHeight="12435" xr2:uid="{00000000-000D-0000-FFFF-FFFF00000000}"/>
  </bookViews>
  <sheets>
    <sheet name="00_Agenda" sheetId="1" r:id="rId1"/>
    <sheet name="01_Foundations" sheetId="2" r:id="rId2"/>
    <sheet name="02_Formulas" sheetId="3" r:id="rId3"/>
    <sheet name="03_Checks" sheetId="4" r:id="rId4"/>
    <sheet name="04_Cleaning" sheetId="5" r:id="rId5"/>
    <sheet name="05_Pivots" sheetId="6" r:id="rId6"/>
    <sheet name="06_Reconcile" sheetId="7" r:id="rId7"/>
    <sheet name="07_Lab_Tasks" sheetId="8" r:id="rId8"/>
    <sheet name="07_Lab_Data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1" i="4" l="1"/>
  <c r="K41" i="4"/>
  <c r="L41" i="4" s="1"/>
  <c r="M40" i="4"/>
  <c r="K40" i="4"/>
  <c r="L40" i="4" s="1"/>
  <c r="M39" i="4"/>
  <c r="K39" i="4"/>
  <c r="L39" i="4" s="1"/>
  <c r="M38" i="4"/>
  <c r="K38" i="4"/>
  <c r="L38" i="4" s="1"/>
  <c r="M37" i="4"/>
  <c r="K37" i="4"/>
  <c r="L37" i="4" s="1"/>
  <c r="M36" i="4"/>
  <c r="K36" i="4"/>
  <c r="L36" i="4" s="1"/>
  <c r="M35" i="4"/>
  <c r="K35" i="4"/>
  <c r="L35" i="4" s="1"/>
  <c r="M34" i="4"/>
  <c r="K34" i="4"/>
  <c r="L34" i="4" s="1"/>
  <c r="M33" i="4"/>
  <c r="K33" i="4"/>
  <c r="L33" i="4" s="1"/>
  <c r="M32" i="4"/>
  <c r="K32" i="4"/>
  <c r="L32" i="4" s="1"/>
  <c r="M31" i="4"/>
  <c r="L31" i="4"/>
  <c r="K31" i="4"/>
  <c r="M30" i="4"/>
  <c r="L30" i="4"/>
  <c r="K30" i="4"/>
  <c r="M29" i="4"/>
  <c r="K29" i="4"/>
  <c r="L29" i="4" s="1"/>
  <c r="M28" i="4"/>
  <c r="K28" i="4"/>
  <c r="L28" i="4" s="1"/>
  <c r="M27" i="4"/>
  <c r="K27" i="4"/>
  <c r="L27" i="4" s="1"/>
  <c r="M26" i="4"/>
  <c r="K26" i="4"/>
  <c r="L26" i="4" s="1"/>
  <c r="M25" i="4"/>
  <c r="K25" i="4"/>
  <c r="L25" i="4" s="1"/>
  <c r="M24" i="4"/>
  <c r="K24" i="4"/>
  <c r="L24" i="4" s="1"/>
  <c r="M23" i="4"/>
  <c r="K23" i="4"/>
  <c r="L23" i="4" s="1"/>
  <c r="M22" i="4"/>
  <c r="K22" i="4"/>
  <c r="L22" i="4" s="1"/>
  <c r="M21" i="4"/>
  <c r="K21" i="4"/>
  <c r="L21" i="4" s="1"/>
  <c r="M20" i="4"/>
  <c r="K20" i="4"/>
  <c r="L20" i="4" s="1"/>
  <c r="M19" i="4"/>
  <c r="K19" i="4"/>
  <c r="L19" i="4" s="1"/>
  <c r="M18" i="4"/>
  <c r="K18" i="4"/>
  <c r="L18" i="4" s="1"/>
  <c r="M17" i="4"/>
  <c r="K17" i="4"/>
  <c r="L17" i="4" s="1"/>
  <c r="M16" i="4"/>
  <c r="K16" i="4"/>
  <c r="L16" i="4" s="1"/>
  <c r="M15" i="4"/>
  <c r="K15" i="4"/>
  <c r="L15" i="4" s="1"/>
  <c r="M14" i="4"/>
  <c r="K14" i="4"/>
  <c r="L14" i="4" s="1"/>
  <c r="M13" i="4"/>
  <c r="K13" i="4"/>
  <c r="L13" i="4" s="1"/>
  <c r="M12" i="4"/>
  <c r="K12" i="4"/>
  <c r="L12" i="4" s="1"/>
  <c r="M11" i="4"/>
  <c r="K11" i="4"/>
  <c r="L11" i="4" s="1"/>
  <c r="M10" i="4"/>
  <c r="K10" i="4"/>
  <c r="L10" i="4" s="1"/>
  <c r="T9" i="4"/>
  <c r="M9" i="4"/>
  <c r="K9" i="4"/>
  <c r="L9" i="4" s="1"/>
  <c r="T8" i="4"/>
  <c r="M8" i="4"/>
  <c r="K8" i="4"/>
  <c r="L8" i="4" s="1"/>
  <c r="T7" i="4"/>
  <c r="M7" i="4"/>
  <c r="K7" i="4"/>
  <c r="L7" i="4" s="1"/>
  <c r="T6" i="4"/>
  <c r="M6" i="4"/>
  <c r="K6" i="4"/>
  <c r="L6" i="4" s="1"/>
  <c r="T5" i="4"/>
  <c r="M5" i="4"/>
  <c r="K5" i="4"/>
  <c r="L5" i="4" s="1"/>
  <c r="M4" i="4"/>
  <c r="K4" i="4"/>
  <c r="L4" i="4" s="1"/>
  <c r="M3" i="4"/>
  <c r="K3" i="4"/>
  <c r="L3" i="4" s="1"/>
  <c r="M2" i="4"/>
  <c r="K2" i="4"/>
  <c r="L2" i="4" s="1"/>
  <c r="T10" i="4" l="1"/>
  <c r="T11" i="4" s="1"/>
</calcChain>
</file>

<file path=xl/sharedStrings.xml><?xml version="1.0" encoding="utf-8"?>
<sst xmlns="http://schemas.openxmlformats.org/spreadsheetml/2006/main" count="8730" uniqueCount="2352">
  <si>
    <t>Ops Analyst Excel Primer - two days, one workbook</t>
  </si>
  <si>
    <t>Batch 2482. Thursday 10 and Friday 11 September 2026, 09:00-12:00 and 13:00-17:00.</t>
  </si>
  <si>
    <t>Before we start (do this now)</t>
  </si>
  <si>
    <t>1. Open this file in the Excel DESKTOP app, not in a browser tab. If it opened in a</t>
  </si>
  <si>
    <t xml:space="preserve">   browser, use Editing &gt; Open in Desktop App. Several things we do on Day 1 do not</t>
  </si>
  <si>
    <t xml:space="preserve">   exist in the web version and you will not be able to follow along.</t>
  </si>
  <si>
    <t>2. File &gt; Save As &gt; your own Documents folder, so you always know where your copy is.</t>
  </si>
  <si>
    <t>3. Excel zoom to 130% or higher (bottom right). You will be reading my screen and yours.</t>
  </si>
  <si>
    <t>4. Turn on the formula bar if it is hidden: View &gt; Show &gt; Formula Bar.</t>
  </si>
  <si>
    <t>How this workbook works</t>
  </si>
  <si>
    <t>One sheet per topic, left to right, in the order we teach them.</t>
  </si>
  <si>
    <t>Every sheet ALREADY CONTAINS the finished work of the sheet before it.</t>
  </si>
  <si>
    <t>So if you fall behind, stop, breathe, and jump to the next sheet when I start the next topic.</t>
  </si>
  <si>
    <t>You never have to catch up on typing. Nothing is lost.</t>
  </si>
  <si>
    <t>Sheet map</t>
  </si>
  <si>
    <t>00_Agenda        this page</t>
  </si>
  <si>
    <t>01_Foundations   Day 1 AM   navigation, formatting, sorting, filtering, Excel Tables</t>
  </si>
  <si>
    <t xml:space="preserve">                 the table you build here is called tblEng01</t>
  </si>
  <si>
    <t>02_Formulas      Day 1 AM   SUM COUNT AVERAGE, percentages, absolute references</t>
  </si>
  <si>
    <t>03_Checks        Day 1 PM   error types, IFERROR, XLOOKUP, validation checks</t>
  </si>
  <si>
    <t>04_Cleaning      Day 1 PM   duplicates, TRIM CLEAN PROPER, Text to Columns, fixing text numbers</t>
  </si>
  <si>
    <t>05_Pivots        Day 2 AM   PivotTables, grouping, slicers, transaction and AML reporting</t>
  </si>
  <si>
    <t>06_Reconcile     Day 2 PM   matching two systems, finding breaks, building a validation tracker</t>
  </si>
  <si>
    <t>07_Lab_Tasks     Day 2 PM   your lab instructions</t>
  </si>
  <si>
    <t>07_Lab_Data      Day 2 PM   your lab data</t>
  </si>
  <si>
    <t>Timetable</t>
  </si>
  <si>
    <t>Day 1  09:00-09:15  Orientation, role of an operations analyst</t>
  </si>
  <si>
    <t>Day 1  09:15-10:35  01 Foundations</t>
  </si>
  <si>
    <t>Day 1  10:35-10:45  Break</t>
  </si>
  <si>
    <t>Day 1  10:45-12:00  02 Core formulas</t>
  </si>
  <si>
    <t>Day 1  13:00-14:20  03 Errors, lookups and validation checks</t>
  </si>
  <si>
    <t>Day 1  14:20-14:30  Break</t>
  </si>
  <si>
    <t>Day 1  14:30-16:30  04 Data cleaning</t>
  </si>
  <si>
    <t>Day 1  16:30-17:00  Recap and questions</t>
  </si>
  <si>
    <t>Day 2  09:00-10:20  05 PivotTables</t>
  </si>
  <si>
    <t>Day 2  10:20-10:30  Break</t>
  </si>
  <si>
    <t>Day 2  10:30-11:45  05 Reporting use cases: finance and AML</t>
  </si>
  <si>
    <t>Day 2  11:45-12:00  Recap</t>
  </si>
  <si>
    <t>Day 2  13:00-14:15  06 Reconciliation</t>
  </si>
  <si>
    <t>Day 2  14:15-14:25  Break</t>
  </si>
  <si>
    <t>Day 2  14:25-16:15  07 Lab (you drive, I answer)</t>
  </si>
  <si>
    <t>Day 2  16:15-17:00  Lab debrief, feedback form, close</t>
  </si>
  <si>
    <t>Two conventions used all the way through</t>
  </si>
  <si>
    <t>SCRATCH area: a boxed-off area on the right of some sheets where we type things ON PURPOSE</t>
  </si>
  <si>
    <t>that break. Leave the mess there. It is labelled. It is meant to be wrong.</t>
  </si>
  <si>
    <t>Numbers on screen: dates are mm/dd/yyyy and amounts are US dollars with a comma separator.</t>
  </si>
  <si>
    <t>Nothing on this sheet needs to be typed. Read it, then click 01_Foundations.</t>
  </si>
  <si>
    <t>engagement_id</t>
  </si>
  <si>
    <t>client_id</t>
  </si>
  <si>
    <t>engagement_name</t>
  </si>
  <si>
    <t>service_line</t>
  </si>
  <si>
    <t>manager</t>
  </si>
  <si>
    <t>start_date</t>
  </si>
  <si>
    <t>end_date</t>
  </si>
  <si>
    <t>budget</t>
  </si>
  <si>
    <t>actual_cost</t>
  </si>
  <si>
    <t>status</t>
  </si>
  <si>
    <t>01 Foundations</t>
  </si>
  <si>
    <t>ENG-1001</t>
  </si>
  <si>
    <t>CLI-001</t>
  </si>
  <si>
    <t>Year-End Audit</t>
  </si>
  <si>
    <t>Audit</t>
  </si>
  <si>
    <t>S. Bhatt</t>
  </si>
  <si>
    <t>Active</t>
  </si>
  <si>
    <t>This is a raw export. Nothing is formatted, nothing is sorted, the</t>
  </si>
  <si>
    <t>ENG-1002</t>
  </si>
  <si>
    <t>CLI-004</t>
  </si>
  <si>
    <t>Transfer Pricing Review</t>
  </si>
  <si>
    <t>Tax</t>
  </si>
  <si>
    <t>U. Castellanos</t>
  </si>
  <si>
    <t>columns are too narrow and the dates are showing as serial numbers.</t>
  </si>
  <si>
    <t>ENG-1003</t>
  </si>
  <si>
    <t>CLI-007</t>
  </si>
  <si>
    <t>Controls Assessment</t>
  </si>
  <si>
    <t>Advisory</t>
  </si>
  <si>
    <t>W. Achebe</t>
  </si>
  <si>
    <t>That is on purpose. By the end of this topic it will be a real tracker.</t>
  </si>
  <si>
    <t>ENG-1004</t>
  </si>
  <si>
    <t>CLI-010</t>
  </si>
  <si>
    <t>AML Programme Review</t>
  </si>
  <si>
    <t>Risk Consulting</t>
  </si>
  <si>
    <t>T. Nakamura</t>
  </si>
  <si>
    <t>Complete</t>
  </si>
  <si>
    <t>ENG-1005</t>
  </si>
  <si>
    <t>CLI-013</t>
  </si>
  <si>
    <t>Cost Optimisation</t>
  </si>
  <si>
    <t>Deal Advisory</t>
  </si>
  <si>
    <t>V. Ostrowski</t>
  </si>
  <si>
    <t>On Hold</t>
  </si>
  <si>
    <t>Columns K, L and M stay empty until the very last step of this topic.</t>
  </si>
  <si>
    <t>ENG-1006</t>
  </si>
  <si>
    <t>CLI-016</t>
  </si>
  <si>
    <t>Vendor Risk Review</t>
  </si>
  <si>
    <t>Planned</t>
  </si>
  <si>
    <t>ENG-1007</t>
  </si>
  <si>
    <t>CLI-019</t>
  </si>
  <si>
    <t>Statutory Reporting</t>
  </si>
  <si>
    <t>ENG-1008</t>
  </si>
  <si>
    <t>CLI-022</t>
  </si>
  <si>
    <t>Due Diligence</t>
  </si>
  <si>
    <t>ENG-1009</t>
  </si>
  <si>
    <t>CLI-025</t>
  </si>
  <si>
    <t>Payroll Assurance</t>
  </si>
  <si>
    <t>ENG-1010</t>
  </si>
  <si>
    <t>CLI-003</t>
  </si>
  <si>
    <t>Data Migration Assurance</t>
  </si>
  <si>
    <t>ENG-1011</t>
  </si>
  <si>
    <t>CLI-006</t>
  </si>
  <si>
    <t>ENG-1012</t>
  </si>
  <si>
    <t>CLI-099</t>
  </si>
  <si>
    <t>ENG-1013</t>
  </si>
  <si>
    <t>CLI-012</t>
  </si>
  <si>
    <t>ENG-1014</t>
  </si>
  <si>
    <t>CLI-015</t>
  </si>
  <si>
    <t>ENG-1015</t>
  </si>
  <si>
    <t>CLI-018</t>
  </si>
  <si>
    <t>ENG-1016</t>
  </si>
  <si>
    <t>CLI-021</t>
  </si>
  <si>
    <t>ENG-1017</t>
  </si>
  <si>
    <t>CLI-024</t>
  </si>
  <si>
    <t>ENG-1018</t>
  </si>
  <si>
    <t>CLI-002</t>
  </si>
  <si>
    <t>ENG-1019</t>
  </si>
  <si>
    <t>CLI-005</t>
  </si>
  <si>
    <t>ENG-1020</t>
  </si>
  <si>
    <t>CLI-008</t>
  </si>
  <si>
    <t>ENG-1021</t>
  </si>
  <si>
    <t>CLI-011</t>
  </si>
  <si>
    <t>ENG-1022</t>
  </si>
  <si>
    <t>CLI-014</t>
  </si>
  <si>
    <t>ENG-1023</t>
  </si>
  <si>
    <t>CLI-017</t>
  </si>
  <si>
    <t>ENG-1024</t>
  </si>
  <si>
    <t>CLI-020</t>
  </si>
  <si>
    <t>ENG-1025</t>
  </si>
  <si>
    <t>CLI-023</t>
  </si>
  <si>
    <t>ENG-104</t>
  </si>
  <si>
    <t>ENG-1027</t>
  </si>
  <si>
    <t>ENG-1028</t>
  </si>
  <si>
    <t>ENG-1029</t>
  </si>
  <si>
    <t>ENG-1030</t>
  </si>
  <si>
    <t>ENG-1031</t>
  </si>
  <si>
    <t>ENG-1032</t>
  </si>
  <si>
    <t>ENG-1034</t>
  </si>
  <si>
    <t>ENG-1035</t>
  </si>
  <si>
    <t>ENG-1036</t>
  </si>
  <si>
    <t>ENG-1037</t>
  </si>
  <si>
    <t>CLI-009</t>
  </si>
  <si>
    <t>ENG-1038</t>
  </si>
  <si>
    <t>ENG-1039</t>
  </si>
  <si>
    <t>ENG-1040</t>
  </si>
  <si>
    <t>variance</t>
  </si>
  <si>
    <t>margin_pct</t>
  </si>
  <si>
    <t>budget_with_uplift</t>
  </si>
  <si>
    <t>PARAMETERS</t>
  </si>
  <si>
    <t>02 Core formulas</t>
  </si>
  <si>
    <t>Fee uplift</t>
  </si>
  <si>
    <t>The tracker is now a real Excel Table called tblEng02. Excel will not allow two</t>
  </si>
  <si>
    <t>tables in one workbook to share a name, so each sheet numbers its own copy.</t>
  </si>
  <si>
    <t>SUMMARY</t>
  </si>
  <si>
    <t>Three columns (K, L, M) have headers but no formulas yet, and the</t>
  </si>
  <si>
    <t>Total budget</t>
  </si>
  <si>
    <t>SUMMARY box in column S has labels but no numbers yet. We fill both.</t>
  </si>
  <si>
    <t>Total actual cost</t>
  </si>
  <si>
    <t>Engagements (rows)</t>
  </si>
  <si>
    <t>With an actual cost</t>
  </si>
  <si>
    <t>Average budget</t>
  </si>
  <si>
    <t>Total variance</t>
  </si>
  <si>
    <t>Overall margin %</t>
  </si>
  <si>
    <t>client_name</t>
  </si>
  <si>
    <t>industry</t>
  </si>
  <si>
    <t>country</t>
  </si>
  <si>
    <t>risk_rating</t>
  </si>
  <si>
    <t>relationship_manager</t>
  </si>
  <si>
    <t>SCRATCH - deliberate errors</t>
  </si>
  <si>
    <t>Aldridge Manufacturing</t>
  </si>
  <si>
    <t>Consumer</t>
  </si>
  <si>
    <t>Canada</t>
  </si>
  <si>
    <t>Low</t>
  </si>
  <si>
    <t>B. Lindqvist</t>
  </si>
  <si>
    <t>Everything below is typed ON PURPOSE and left broken.</t>
  </si>
  <si>
    <t>Bellhaven Foods</t>
  </si>
  <si>
    <t>Transport</t>
  </si>
  <si>
    <t>United Kingdom</t>
  </si>
  <si>
    <t>C. Duval</t>
  </si>
  <si>
    <t>It is how we learn to read Excel's five error messages.</t>
  </si>
  <si>
    <t>Cardinal Freight</t>
  </si>
  <si>
    <t>Energy</t>
  </si>
  <si>
    <t>Germany</t>
  </si>
  <si>
    <t>Medium</t>
  </si>
  <si>
    <t>D. Ramachandran</t>
  </si>
  <si>
    <t>Do not fix it. Do not delete it.</t>
  </si>
  <si>
    <t>Dunmore Energy</t>
  </si>
  <si>
    <t>Financial Services</t>
  </si>
  <si>
    <t>Singapore</t>
  </si>
  <si>
    <t>E. Whitfield</t>
  </si>
  <si>
    <t>Eastvale Logistics</t>
  </si>
  <si>
    <t>Healthcare</t>
  </si>
  <si>
    <t>Mexico</t>
  </si>
  <si>
    <t>High</t>
  </si>
  <si>
    <t>A. Okafor</t>
  </si>
  <si>
    <t>Fairmont Retail Group</t>
  </si>
  <si>
    <t>Technology</t>
  </si>
  <si>
    <t>Ireland</t>
  </si>
  <si>
    <t>Granite Peak Mining</t>
  </si>
  <si>
    <t>Real Estate</t>
  </si>
  <si>
    <t>Australia</t>
  </si>
  <si>
    <t>Harbour Line Shipping</t>
  </si>
  <si>
    <t>Mining</t>
  </si>
  <si>
    <t>United States</t>
  </si>
  <si>
    <t>Ironwood Pharma</t>
  </si>
  <si>
    <t>Media</t>
  </si>
  <si>
    <t>Juniper Health Systems</t>
  </si>
  <si>
    <t>Manufacturing</t>
  </si>
  <si>
    <t>Kestrel Aviation</t>
  </si>
  <si>
    <t>Lakeshore Utilities</t>
  </si>
  <si>
    <t>Mosaic Holdings</t>
  </si>
  <si>
    <t>Northgate Insurance</t>
  </si>
  <si>
    <t>Orchard Bay Hotels</t>
  </si>
  <si>
    <t>Pinehurst Capital</t>
  </si>
  <si>
    <t>Quarry Ridge Cement</t>
  </si>
  <si>
    <t>Redstone Media</t>
  </si>
  <si>
    <t>Silverbrook Bank</t>
  </si>
  <si>
    <t>Thornfield Chemicals</t>
  </si>
  <si>
    <t>Umberton Textiles</t>
  </si>
  <si>
    <t>Vanguard Rail</t>
  </si>
  <si>
    <t>Westmere Property</t>
  </si>
  <si>
    <t>Yarrow Biotech</t>
  </si>
  <si>
    <t>Zephyr Telecom</t>
  </si>
  <si>
    <t>txn_id</t>
  </si>
  <si>
    <t>txn_date</t>
  </si>
  <si>
    <t>txn_type</t>
  </si>
  <si>
    <t>direction</t>
  </si>
  <si>
    <t>amount</t>
  </si>
  <si>
    <t>currency</t>
  </si>
  <si>
    <t>channel</t>
  </si>
  <si>
    <t>counterparty_country</t>
  </si>
  <si>
    <t>04 Data cleaning</t>
  </si>
  <si>
    <t>tx0001</t>
  </si>
  <si>
    <t>01/01/2026</t>
  </si>
  <si>
    <t>Debit</t>
  </si>
  <si>
    <t>$7,477.00</t>
  </si>
  <si>
    <t xml:space="preserve"> usd </t>
  </si>
  <si>
    <t>Branch</t>
  </si>
  <si>
    <t>Posted</t>
  </si>
  <si>
    <t> ALPINE  FREIGHT SERVICES 	|Canada</t>
  </si>
  <si>
    <t>312 rows straight out of a payments system. Every defect below is real,</t>
  </si>
  <si>
    <t>TX-0002</t>
  </si>
  <si>
    <t>01-Jan-2026</t>
  </si>
  <si>
    <t>cli-016</t>
  </si>
  <si>
    <t>Wire</t>
  </si>
  <si>
    <t>17,413.00</t>
  </si>
  <si>
    <t>USD</t>
  </si>
  <si>
    <t>Online</t>
  </si>
  <si>
    <t>petra energy partners|United States</t>
  </si>
  <si>
    <t>and every one of them is in this data:</t>
  </si>
  <si>
    <t xml:space="preserve"> TX0003 </t>
  </si>
  <si>
    <t>2026-01-02</t>
  </si>
  <si>
    <t>Check</t>
  </si>
  <si>
    <t xml:space="preserve"> 2496.00</t>
  </si>
  <si>
    <t>Mobile</t>
  </si>
  <si>
    <t>Corvus Metals|Germany</t>
  </si>
  <si>
    <t xml:space="preserve">  exact duplicate rows            same row typed twice</t>
  </si>
  <si>
    <t>TX0004</t>
  </si>
  <si>
    <t>01/02/2026</t>
  </si>
  <si>
    <t>2849.00</t>
  </si>
  <si>
    <t>Correspondent</t>
  </si>
  <si>
    <t>Pending</t>
  </si>
  <si>
    <t>FERRUM STEEL WORKS|Germany</t>
  </si>
  <si>
    <t xml:space="preserve">  near duplicate rows             same txn_id, one field changed</t>
  </si>
  <si>
    <t>tx0005</t>
  </si>
  <si>
    <t>02-Jan-2026</t>
  </si>
  <si>
    <t>Cash</t>
  </si>
  <si>
    <t>$5,746.00</t>
  </si>
  <si>
    <t>GRANDVIEW LOGISTICS|Mexico</t>
  </si>
  <si>
    <t xml:space="preserve">  ids in four shapes              TX0012, tx0012, TX-0012, and ' TX0012 ' with spaces</t>
  </si>
  <si>
    <t>TX-0006</t>
  </si>
  <si>
    <t>cli-001</t>
  </si>
  <si>
    <t>6,384.00</t>
  </si>
  <si>
    <t>kelso  agricultural|Australia</t>
  </si>
  <si>
    <t xml:space="preserve">  dates in three formats          03/14/2026, 14-Mar-2026, 2026-03-14</t>
  </si>
  <si>
    <t xml:space="preserve"> TX0007 </t>
  </si>
  <si>
    <t>01/03/2026</t>
  </si>
  <si>
    <t>Card</t>
  </si>
  <si>
    <t xml:space="preserve"> 13557.00</t>
  </si>
  <si>
    <t>Delta Ridge Partners |United States</t>
  </si>
  <si>
    <t xml:space="preserve">  amounts stored as text          $1,250.00 and 1,250.00 and leading spaces</t>
  </si>
  <si>
    <t>TX0008</t>
  </si>
  <si>
    <t>03-Jan-2026</t>
  </si>
  <si>
    <t>Credit</t>
  </si>
  <si>
    <t>7082.00</t>
  </si>
  <si>
    <t xml:space="preserve"> QUINTAL SHIPPING|Panama</t>
  </si>
  <si>
    <t xml:space="preserve">  blank txn_type                  20 rows as loaded, 18 after de-duplication</t>
  </si>
  <si>
    <t>tx0009</t>
  </si>
  <si>
    <t>2026-01-03</t>
  </si>
  <si>
    <t>$3,771.00</t>
  </si>
  <si>
    <t>RIVERTON TEXTILES|Mexico</t>
  </si>
  <si>
    <t xml:space="preserve">  two fields in one column        counterparty_country, split by a pipe</t>
  </si>
  <si>
    <t>TX-0010</t>
  </si>
  <si>
    <t>01/04/2026</t>
  </si>
  <si>
    <t>cli-009</t>
  </si>
  <si>
    <t>4,648.00</t>
  </si>
  <si>
    <t>baytown supply co|United States</t>
  </si>
  <si>
    <t xml:space="preserve">  non-printing characters         invisible, but they break every match</t>
  </si>
  <si>
    <t xml:space="preserve"> TX0011 </t>
  </si>
  <si>
    <t>04-Jan-2026</t>
  </si>
  <si>
    <t xml:space="preserve"> 716.00</t>
  </si>
  <si>
    <t>Kelso  Agricultural|Australia</t>
  </si>
  <si>
    <t>TX0012</t>
  </si>
  <si>
    <t>2026-01-04</t>
  </si>
  <si>
    <t>1312.00</t>
  </si>
  <si>
    <t>KELSO AGRICULTURAL	|Australia</t>
  </si>
  <si>
    <t>Working columns we will build (M to Q)</t>
  </si>
  <si>
    <t>tx0013</t>
  </si>
  <si>
    <t>$5,757.00</t>
  </si>
  <si>
    <t>MERIDIAN PACKAGING |Canada</t>
  </si>
  <si>
    <t>M clean_txn_id   N clean_date   O clean_amount   P clean_counterparty   Q clean_client_id</t>
  </si>
  <si>
    <t>TX-0014</t>
  </si>
  <si>
    <t>cli-012</t>
  </si>
  <si>
    <t>3,497.00</t>
  </si>
  <si>
    <t>meridian packaging|Canada</t>
  </si>
  <si>
    <t xml:space="preserve"> TX0015 </t>
  </si>
  <si>
    <t xml:space="preserve"> 22621.00</t>
  </si>
  <si>
    <t xml:space="preserve"> Quintal Shipping|Panama</t>
  </si>
  <si>
    <t>Column K is empty on purpose. Text to Columns needs somewhere to put the country.</t>
  </si>
  <si>
    <t>TX0016</t>
  </si>
  <si>
    <t>01/05/2026</t>
  </si>
  <si>
    <t>ACH</t>
  </si>
  <si>
    <t>7395.00</t>
  </si>
  <si>
    <t>EASTBROOK  MEDIA|United Kingdom</t>
  </si>
  <si>
    <t>tx0017</t>
  </si>
  <si>
    <t>05-Jan-2026</t>
  </si>
  <si>
    <t>$3,865.00</t>
  </si>
  <si>
    <t>TX-0018</t>
  </si>
  <si>
    <t>2026-01-05</t>
  </si>
  <si>
    <t>cli-006</t>
  </si>
  <si>
    <t>1,452.00</t>
  </si>
  <si>
    <t>ferrum steel works|Germany</t>
  </si>
  <si>
    <t xml:space="preserve"> TX0019 </t>
  </si>
  <si>
    <t xml:space="preserve"> 12221.00</t>
  </si>
  <si>
    <t>Jadewater Trading |Singapore</t>
  </si>
  <si>
    <t>TX0020</t>
  </si>
  <si>
    <t>4641.00</t>
  </si>
  <si>
    <t>NORVALE TRADING LTD|Cyprus</t>
  </si>
  <si>
    <t>tx0021</t>
  </si>
  <si>
    <t>$1,598.00</t>
  </si>
  <si>
    <t>SALTMARSH  FOODS|Ireland</t>
  </si>
  <si>
    <t>TX-0022</t>
  </si>
  <si>
    <t>01/06/2026</t>
  </si>
  <si>
    <t>8,096.00</t>
  </si>
  <si>
    <t xml:space="preserve"> corvus metals|Germany</t>
  </si>
  <si>
    <t xml:space="preserve"> TX0023 </t>
  </si>
  <si>
    <t>06-Jan-2026</t>
  </si>
  <si>
    <t xml:space="preserve"> 4231.00</t>
  </si>
  <si>
    <t>Jadewater Trading	|Singapore</t>
  </si>
  <si>
    <t>TX0024</t>
  </si>
  <si>
    <t>2026-01-06</t>
  </si>
  <si>
    <t>4426.00</t>
  </si>
  <si>
    <t>LARKSPUR CONSULTING|United States</t>
  </si>
  <si>
    <t>tx0025</t>
  </si>
  <si>
    <t>$9,361.00</t>
  </si>
  <si>
    <t>TX-0026</t>
  </si>
  <si>
    <t>07-Jan-2026</t>
  </si>
  <si>
    <t>cli-011</t>
  </si>
  <si>
    <t>1,658.00</t>
  </si>
  <si>
    <t xml:space="preserve"> TX0027 </t>
  </si>
  <si>
    <t>2026-01-07</t>
  </si>
  <si>
    <t xml:space="preserve"> 6948.00</t>
  </si>
  <si>
    <t>Saltmarsh Foods|Ireland</t>
  </si>
  <si>
    <t>TX0028</t>
  </si>
  <si>
    <t>01/08/2026</t>
  </si>
  <si>
    <t>882.00</t>
  </si>
  <si>
    <t>DELTA RIDGE PARTNERS|United States</t>
  </si>
  <si>
    <t>tx0029</t>
  </si>
  <si>
    <t>08-Jan-2026</t>
  </si>
  <si>
    <t>$18,317.00</t>
  </si>
  <si>
    <t xml:space="preserve"> INVERNESS TOOLING|United Kingdom</t>
  </si>
  <si>
    <t>TX-0030</t>
  </si>
  <si>
    <t>2026-01-09</t>
  </si>
  <si>
    <t>cli-018</t>
  </si>
  <si>
    <t>215.00</t>
  </si>
  <si>
    <t>oakfield components|Ireland</t>
  </si>
  <si>
    <t xml:space="preserve"> TX0031 </t>
  </si>
  <si>
    <t>01/10/2026</t>
  </si>
  <si>
    <t xml:space="preserve"> 9669.00</t>
  </si>
  <si>
    <t>Inverness  Tooling |United Kingdom</t>
  </si>
  <si>
    <t>TX0032</t>
  </si>
  <si>
    <t>10-Jan-2026</t>
  </si>
  <si>
    <t>1100.00</t>
  </si>
  <si>
    <t>OAKFIELD COMPONENTS|Ireland</t>
  </si>
  <si>
    <t>tx0033</t>
  </si>
  <si>
    <t>2026-01-10</t>
  </si>
  <si>
    <t>$1,080.00</t>
  </si>
  <si>
    <t>QUINTAL SHIPPING|Panama</t>
  </si>
  <si>
    <t>TX-0034</t>
  </si>
  <si>
    <t>01/11/2026</t>
  </si>
  <si>
    <t>cli-019</t>
  </si>
  <si>
    <t>1,945.00</t>
  </si>
  <si>
    <t>grandview logistics	|Mexico</t>
  </si>
  <si>
    <t xml:space="preserve"> TX0035 </t>
  </si>
  <si>
    <t>11-Jan-2026</t>
  </si>
  <si>
    <t xml:space="preserve"> 13191.00</t>
  </si>
  <si>
    <t>Grandview Logistics|Mexico</t>
  </si>
  <si>
    <t>TX0036</t>
  </si>
  <si>
    <t>2026-01-12</t>
  </si>
  <si>
    <t>12500.00</t>
  </si>
  <si>
    <t xml:space="preserve"> ALPINE  FREIGHT SERVICES|Canada</t>
  </si>
  <si>
    <t>tx0037</t>
  </si>
  <si>
    <t>01/12/2026</t>
  </si>
  <si>
    <t>$472.00</t>
  </si>
  <si>
    <t>TX-0038</t>
  </si>
  <si>
    <t>12-Jan-2026</t>
  </si>
  <si>
    <t>cli-020</t>
  </si>
  <si>
    <t>5,831.00</t>
  </si>
  <si>
    <t>saltmarsh foods|Ireland</t>
  </si>
  <si>
    <t>9682.00</t>
  </si>
  <si>
    <t xml:space="preserve"> TX0039 </t>
  </si>
  <si>
    <t>2026-01-13</t>
  </si>
  <si>
    <t xml:space="preserve"> 1684.00</t>
  </si>
  <si>
    <t>Inverness Tooling|United Kingdom</t>
  </si>
  <si>
    <t>TX0040</t>
  </si>
  <si>
    <t>01/13/2026</t>
  </si>
  <si>
    <t>900.00</t>
  </si>
  <si>
    <t>TORRENT DATA SYSTEMS|United States</t>
  </si>
  <si>
    <t>tx0041</t>
  </si>
  <si>
    <t>13-Jan-2026</t>
  </si>
  <si>
    <t>$5,558.00</t>
  </si>
  <si>
    <t>TORRENT  DATA SYSTEMS|United States</t>
  </si>
  <si>
    <t>TX-0042</t>
  </si>
  <si>
    <t>2026-01-14</t>
  </si>
  <si>
    <t>cli-017</t>
  </si>
  <si>
    <t>1,405.00</t>
  </si>
  <si>
    <t>riverton textiles|Mexico</t>
  </si>
  <si>
    <t xml:space="preserve"> TX0043 </t>
  </si>
  <si>
    <t>01/15/2026</t>
  </si>
  <si>
    <t xml:space="preserve"> 6308.00</t>
  </si>
  <si>
    <t xml:space="preserve"> Meridian Packaging |Canada</t>
  </si>
  <si>
    <t>TX0044</t>
  </si>
  <si>
    <t>15-Jan-2026</t>
  </si>
  <si>
    <t>2233.00</t>
  </si>
  <si>
    <t>tx0045</t>
  </si>
  <si>
    <t>2026-01-16</t>
  </si>
  <si>
    <t>$1,821.00</t>
  </si>
  <si>
    <t>ALPINE FREIGHT SERVICES	|Canada</t>
  </si>
  <si>
    <t>TX-0046</t>
  </si>
  <si>
    <t>01/16/2026</t>
  </si>
  <si>
    <t>cli-015</t>
  </si>
  <si>
    <t>2,390.00</t>
  </si>
  <si>
    <t>saltmarsh  foods|Ireland</t>
  </si>
  <si>
    <t xml:space="preserve"> TX0047 </t>
  </si>
  <si>
    <t>17-Jan-2026</t>
  </si>
  <si>
    <t xml:space="preserve"> 3973.00</t>
  </si>
  <si>
    <t>Alpine Freight Services|Canada</t>
  </si>
  <si>
    <t>TX0048</t>
  </si>
  <si>
    <t>2026-01-17</t>
  </si>
  <si>
    <t>84.00</t>
  </si>
  <si>
    <t>EASTBROOK MEDIA|United Kingdom</t>
  </si>
  <si>
    <t>tx0049</t>
  </si>
  <si>
    <t>01/17/2026</t>
  </si>
  <si>
    <t>$5,204.00</t>
  </si>
  <si>
    <t>GRANDVIEW LOGISTICS |Mexico</t>
  </si>
  <si>
    <t>TX-0050</t>
  </si>
  <si>
    <t>4,838.00</t>
  </si>
  <si>
    <t xml:space="preserve"> meridian packaging|Canada</t>
  </si>
  <si>
    <t xml:space="preserve"> TX0051 </t>
  </si>
  <si>
    <t xml:space="preserve"> 8511.00</t>
  </si>
  <si>
    <t>Oakfield  Components|Ireland</t>
  </si>
  <si>
    <t>TX0052</t>
  </si>
  <si>
    <t>01/18/2026</t>
  </si>
  <si>
    <t>12674.00</t>
  </si>
  <si>
    <t>ALPINE FREIGHT SERVICES|Canada</t>
  </si>
  <si>
    <t>tx0053</t>
  </si>
  <si>
    <t>18-Jan-2026</t>
  </si>
  <si>
    <t>$14,035.00</t>
  </si>
  <si>
    <t>BAYTOWN SUPPLY CO|United States</t>
  </si>
  <si>
    <t>TX-0054</t>
  </si>
  <si>
    <t>2026-01-18</t>
  </si>
  <si>
    <t>7,720.00</t>
  </si>
  <si>
    <t xml:space="preserve"> TX0055 </t>
  </si>
  <si>
    <t xml:space="preserve"> 5666.00</t>
  </si>
  <si>
    <t>Petra Energy Partners |United States</t>
  </si>
  <si>
    <t>TX0056</t>
  </si>
  <si>
    <t>19-Jan-2026</t>
  </si>
  <si>
    <t>3784.00</t>
  </si>
  <si>
    <t>CORVUS  METALS	|Germany</t>
  </si>
  <si>
    <t>tx0057</t>
  </si>
  <si>
    <t>2026-01-19</t>
  </si>
  <si>
    <t>$4,699.00</t>
  </si>
  <si>
    <t xml:space="preserve"> GRANDVIEW LOGISTICS|Mexico</t>
  </si>
  <si>
    <t>TX-0058</t>
  </si>
  <si>
    <t>01/19/2026</t>
  </si>
  <si>
    <t>cli-007</t>
  </si>
  <si>
    <t>1,123.00</t>
  </si>
  <si>
    <t>halcyon marine|Singapore</t>
  </si>
  <si>
    <t xml:space="preserve"> TX0059 </t>
  </si>
  <si>
    <t xml:space="preserve"> 3319.00</t>
  </si>
  <si>
    <t>Torrent Data Systems|United States</t>
  </si>
  <si>
    <t>TX0060</t>
  </si>
  <si>
    <t>2026-01-20</t>
  </si>
  <si>
    <t>98.00</t>
  </si>
  <si>
    <t>tx0061</t>
  </si>
  <si>
    <t>01/20/2026</t>
  </si>
  <si>
    <t>$1,613.00</t>
  </si>
  <si>
    <t>LARKSPUR  CONSULTING |United States</t>
  </si>
  <si>
    <t>TX-0062</t>
  </si>
  <si>
    <t>20-Jan-2026</t>
  </si>
  <si>
    <t>463.00</t>
  </si>
  <si>
    <t xml:space="preserve"> TX0063 </t>
  </si>
  <si>
    <t xml:space="preserve"> 354.00</t>
  </si>
  <si>
    <t>Riverton Textiles|Mexico</t>
  </si>
  <si>
    <t>TX0064</t>
  </si>
  <si>
    <t>01/21/2026</t>
  </si>
  <si>
    <t>1164.00</t>
  </si>
  <si>
    <t xml:space="preserve"> BAYTOWN SUPPLY CO|United States</t>
  </si>
  <si>
    <t>tx0065</t>
  </si>
  <si>
    <t>21-Jan-2026</t>
  </si>
  <si>
    <t>$18,400.00</t>
  </si>
  <si>
    <t>TX-0066</t>
  </si>
  <si>
    <t>2026-01-21</t>
  </si>
  <si>
    <t>cli-022</t>
  </si>
  <si>
    <t>13,754.00</t>
  </si>
  <si>
    <t>halcyon  marine|Singapore</t>
  </si>
  <si>
    <t xml:space="preserve"> TX0067 </t>
  </si>
  <si>
    <t xml:space="preserve"> 21839.00</t>
  </si>
  <si>
    <t>Kelso Agricultural 	|Australia</t>
  </si>
  <si>
    <t>TX0068</t>
  </si>
  <si>
    <t>769.00</t>
  </si>
  <si>
    <t>tx0069</t>
  </si>
  <si>
    <t>$6,484.00</t>
  </si>
  <si>
    <t>SALTMARSH FOODS|Ireland</t>
  </si>
  <si>
    <t>TX-0070</t>
  </si>
  <si>
    <t>01/22/2026</t>
  </si>
  <si>
    <t>1,799.00</t>
  </si>
  <si>
    <t>alpine freight services|Canada</t>
  </si>
  <si>
    <t xml:space="preserve"> TX0071 </t>
  </si>
  <si>
    <t>22-Jan-2026</t>
  </si>
  <si>
    <t xml:space="preserve"> 20052.00</t>
  </si>
  <si>
    <t xml:space="preserve"> Alpine  Freight Services|Canada</t>
  </si>
  <si>
    <t>TX0072</t>
  </si>
  <si>
    <t>2026-01-22</t>
  </si>
  <si>
    <t>3989.00</t>
  </si>
  <si>
    <t>BAYTOWN SUPPLY CO|United States</t>
  </si>
  <si>
    <t>tx0073</t>
  </si>
  <si>
    <t>$4,362.00</t>
  </si>
  <si>
    <t>KELSO AGRICULTURAL |Australia</t>
  </si>
  <si>
    <t>TX-0074</t>
  </si>
  <si>
    <t>5,038.00</t>
  </si>
  <si>
    <t xml:space="preserve"> TX0075 </t>
  </si>
  <si>
    <t>2026-01-23</t>
  </si>
  <si>
    <t xml:space="preserve"> 1677.00</t>
  </si>
  <si>
    <t>Kelso Agricultural|Australia</t>
  </si>
  <si>
    <t>TX0076</t>
  </si>
  <si>
    <t>01/23/2026</t>
  </si>
  <si>
    <t>8019.00</t>
  </si>
  <si>
    <t>QUINTAL  SHIPPING|Panama</t>
  </si>
  <si>
    <t>tx0077</t>
  </si>
  <si>
    <t>25-Jan-2026</t>
  </si>
  <si>
    <t>$14,069.00</t>
  </si>
  <si>
    <t>TX-0078</t>
  </si>
  <si>
    <t>2026-01-26</t>
  </si>
  <si>
    <t>8,587.00</t>
  </si>
  <si>
    <t xml:space="preserve"> alpine freight services	|Canada</t>
  </si>
  <si>
    <t xml:space="preserve"> TX0079 </t>
  </si>
  <si>
    <t>01/26/2026</t>
  </si>
  <si>
    <t xml:space="preserve"> 1688.00</t>
  </si>
  <si>
    <t>Ferrum Steel Works |Germany</t>
  </si>
  <si>
    <t>TX0080</t>
  </si>
  <si>
    <t>27-Jan-2026</t>
  </si>
  <si>
    <t>2398.00</t>
  </si>
  <si>
    <t>tx0081</t>
  </si>
  <si>
    <t>2026-01-28</t>
  </si>
  <si>
    <t>$372.00</t>
  </si>
  <si>
    <t>LARKSPUR  CONSULTING|United States</t>
  </si>
  <si>
    <t>TX-0082</t>
  </si>
  <si>
    <t>01/29/2026</t>
  </si>
  <si>
    <t>17,482.00</t>
  </si>
  <si>
    <t>delta ridge partners|United States</t>
  </si>
  <si>
    <t xml:space="preserve"> TX0083 </t>
  </si>
  <si>
    <t>29-Jan-2026</t>
  </si>
  <si>
    <t xml:space="preserve"> 9817.00</t>
  </si>
  <si>
    <t>Eastbrook Media|United Kingdom</t>
  </si>
  <si>
    <t>TX0084</t>
  </si>
  <si>
    <t>2026-01-30</t>
  </si>
  <si>
    <t>10000.00</t>
  </si>
  <si>
    <t>INVERNESS TOOLING|United Kingdom</t>
  </si>
  <si>
    <t>tx0085</t>
  </si>
  <si>
    <t>01/30/2026</t>
  </si>
  <si>
    <t>$7,048.00</t>
  </si>
  <si>
    <t xml:space="preserve"> MERIDIAN PACKAGING |Canada</t>
  </si>
  <si>
    <t>TX-0086</t>
  </si>
  <si>
    <t>31-Jan-2026</t>
  </si>
  <si>
    <t>cli-008</t>
  </si>
  <si>
    <t>1,417.00</t>
  </si>
  <si>
    <t>eastbrook  media|United Kingdom</t>
  </si>
  <si>
    <t xml:space="preserve"> TX0087 </t>
  </si>
  <si>
    <t>2026-01-31</t>
  </si>
  <si>
    <t xml:space="preserve"> 2184.00</t>
  </si>
  <si>
    <t>Ferrum Steel Works|Germany</t>
  </si>
  <si>
    <t>TX0088</t>
  </si>
  <si>
    <t>02/01/2026</t>
  </si>
  <si>
    <t>1782.00</t>
  </si>
  <si>
    <t>tx0089</t>
  </si>
  <si>
    <t>01-Feb-2026</t>
  </si>
  <si>
    <t>$1,526.00</t>
  </si>
  <si>
    <t>BAYTOWN SUPPLY CO	|United States</t>
  </si>
  <si>
    <t>TX-0090</t>
  </si>
  <si>
    <t>2026-02-01</t>
  </si>
  <si>
    <t>cli-024</t>
  </si>
  <si>
    <t>7,096.00</t>
  </si>
  <si>
    <t>grandview logistics|Mexico</t>
  </si>
  <si>
    <t xml:space="preserve"> TX0091 </t>
  </si>
  <si>
    <t xml:space="preserve"> 3376.00</t>
  </si>
  <si>
    <t>Norvale  Trading Ltd |Cyprus</t>
  </si>
  <si>
    <t>TX0092</t>
  </si>
  <si>
    <t>14336.00</t>
  </si>
  <si>
    <t> OAKFIELD COMPONENTS|Ireland</t>
  </si>
  <si>
    <t>tx0093</t>
  </si>
  <si>
    <t>$2,229.00</t>
  </si>
  <si>
    <t>TX-0094</t>
  </si>
  <si>
    <t>3,885.00</t>
  </si>
  <si>
    <t xml:space="preserve"> TX0095 </t>
  </si>
  <si>
    <t>02-Feb-2026</t>
  </si>
  <si>
    <t xml:space="preserve"> 19661.00</t>
  </si>
  <si>
    <t>Larkspur Consulting|United States</t>
  </si>
  <si>
    <t>TX0096</t>
  </si>
  <si>
    <t>2026-02-02</t>
  </si>
  <si>
    <t>22677.00</t>
  </si>
  <si>
    <t>RIVERTON  TEXTILES|Mexico</t>
  </si>
  <si>
    <t>tx0097</t>
  </si>
  <si>
    <t>02/02/2026</t>
  </si>
  <si>
    <t>$955.00</t>
  </si>
  <si>
    <t>SALTMARSH FOODS |Ireland</t>
  </si>
  <si>
    <t>TX-0098</t>
  </si>
  <si>
    <t>03-Feb-2026</t>
  </si>
  <si>
    <t>495.00</t>
  </si>
  <si>
    <t>3389.00</t>
  </si>
  <si>
    <t xml:space="preserve"> TX0099 </t>
  </si>
  <si>
    <t>2026-02-03</t>
  </si>
  <si>
    <t xml:space="preserve"> 16306.00</t>
  </si>
  <si>
    <t xml:space="preserve"> Corvus Metals|Germany</t>
  </si>
  <si>
    <t>TX0100</t>
  </si>
  <si>
    <t>02/03/2026</t>
  </si>
  <si>
    <t>1402.00</t>
  </si>
  <si>
    <t>EASTBROOK MEDIA	|United Kingdom</t>
  </si>
  <si>
    <t>tx0101</t>
  </si>
  <si>
    <t>$9,400.00</t>
  </si>
  <si>
    <t>NORVALE  TRADING LTD|Cyprus</t>
  </si>
  <si>
    <t>TX-0102</t>
  </si>
  <si>
    <t>cli-013</t>
  </si>
  <si>
    <t>800.00</t>
  </si>
  <si>
    <t xml:space="preserve"> TX0103 </t>
  </si>
  <si>
    <t xml:space="preserve"> 9479.00</t>
  </si>
  <si>
    <t>Torrent Data Systems |United States</t>
  </si>
  <si>
    <t>TX0104</t>
  </si>
  <si>
    <t>04-Feb-2026</t>
  </si>
  <si>
    <t>6713.00</t>
  </si>
  <si>
    <t>tx0105</t>
  </si>
  <si>
    <t>2026-02-04</t>
  </si>
  <si>
    <t>$8,366.00</t>
  </si>
  <si>
    <t>ALPINE FREIGHT SERVICES|Canada</t>
  </si>
  <si>
    <t>TX-0106</t>
  </si>
  <si>
    <t>02/04/2026</t>
  </si>
  <si>
    <t>1,114.00</t>
  </si>
  <si>
    <t xml:space="preserve"> baytown  supply co|United States</t>
  </si>
  <si>
    <t xml:space="preserve"> TX0107 </t>
  </si>
  <si>
    <t xml:space="preserve"> 4012.00</t>
  </si>
  <si>
    <t>Halcyon Marine|Singapore</t>
  </si>
  <si>
    <t>TX0108</t>
  </si>
  <si>
    <t>16529.00</t>
  </si>
  <si>
    <t>HALCYON MARINE|Singapore</t>
  </si>
  <si>
    <t>tx0109</t>
  </si>
  <si>
    <t>$2,221.00</t>
  </si>
  <si>
    <t>JADEWATER TRADING |Singapore</t>
  </si>
  <si>
    <t>TX-0110</t>
  </si>
  <si>
    <t>488.00</t>
  </si>
  <si>
    <t>meridian packaging|Canada</t>
  </si>
  <si>
    <t xml:space="preserve"> TX0111 </t>
  </si>
  <si>
    <t xml:space="preserve"> 2219.00</t>
  </si>
  <si>
    <t>Torrent  Data Systems	|United States</t>
  </si>
  <si>
    <t>TX0112</t>
  </si>
  <si>
    <t>02/05/2026</t>
  </si>
  <si>
    <t>82.00</t>
  </si>
  <si>
    <t>tx0113</t>
  </si>
  <si>
    <t>05-Feb-2026</t>
  </si>
  <si>
    <t>$533.00</t>
  </si>
  <si>
    <t>TX-0114</t>
  </si>
  <si>
    <t>2026-02-05</t>
  </si>
  <si>
    <t>1,296.00</t>
  </si>
  <si>
    <t xml:space="preserve"> TX0115 </t>
  </si>
  <si>
    <t xml:space="preserve"> 16125.00</t>
  </si>
  <si>
    <t>TX0116</t>
  </si>
  <si>
    <t>06-Feb-2026</t>
  </si>
  <si>
    <t>3071.00</t>
  </si>
  <si>
    <t>GRANDVIEW  LOGISTICS|Mexico</t>
  </si>
  <si>
    <t>tx0117</t>
  </si>
  <si>
    <t>2026-02-06</t>
  </si>
  <si>
    <t>$9,650.00</t>
  </si>
  <si>
    <t>TX-0118</t>
  </si>
  <si>
    <t>02/07/2026</t>
  </si>
  <si>
    <t>2,372.00</t>
  </si>
  <si>
    <t>kelso agricultural|Australia</t>
  </si>
  <si>
    <t xml:space="preserve"> TX0119 </t>
  </si>
  <si>
    <t>07-Feb-2026</t>
  </si>
  <si>
    <t xml:space="preserve"> 13414.00</t>
  </si>
  <si>
    <t>Oakfield Components|Ireland</t>
  </si>
  <si>
    <t>TX0120</t>
  </si>
  <si>
    <t>2026-02-07</t>
  </si>
  <si>
    <t>5642.00</t>
  </si>
  <si>
    <t xml:space="preserve"> SALTMARSH FOODS|Ireland</t>
  </si>
  <si>
    <t>tx0121</t>
  </si>
  <si>
    <t>02/08/2026</t>
  </si>
  <si>
    <t>$2,767.00</t>
  </si>
  <si>
    <t>INVERNESS  TOOLING |United Kingdom</t>
  </si>
  <si>
    <t>TX-0122</t>
  </si>
  <si>
    <t>08-Feb-2026</t>
  </si>
  <si>
    <t>26,750.00</t>
  </si>
  <si>
    <t>meridian packaging	|Canada</t>
  </si>
  <si>
    <t xml:space="preserve"> TX0123 </t>
  </si>
  <si>
    <t>2026-02-08</t>
  </si>
  <si>
    <t xml:space="preserve"> 7318.00</t>
  </si>
  <si>
    <t>TX0124</t>
  </si>
  <si>
    <t>9040.00</t>
  </si>
  <si>
    <t>TORRENT DATA SYSTEMS|United States</t>
  </si>
  <si>
    <t>tx0125</t>
  </si>
  <si>
    <t>09-Feb-2026</t>
  </si>
  <si>
    <t>$5,408.00</t>
  </si>
  <si>
    <t>KELSO AGRICULTURAL|Australia</t>
  </si>
  <si>
    <t>TX-0126</t>
  </si>
  <si>
    <t>2026-02-09</t>
  </si>
  <si>
    <t>9,800.00</t>
  </si>
  <si>
    <t>norvale  trading ltd|Cyprus</t>
  </si>
  <si>
    <t xml:space="preserve"> TX0127 </t>
  </si>
  <si>
    <t>02/09/2026</t>
  </si>
  <si>
    <t xml:space="preserve"> 1633.00</t>
  </si>
  <si>
    <t xml:space="preserve"> Oakfield Components |Ireland</t>
  </si>
  <si>
    <t>TX0128</t>
  </si>
  <si>
    <t>5861.00</t>
  </si>
  <si>
    <t>PETRA ENERGY PARTNERS|United States</t>
  </si>
  <si>
    <t>tx0129</t>
  </si>
  <si>
    <t>2026-02-10</t>
  </si>
  <si>
    <t>$5,128.00</t>
  </si>
  <si>
    <t>JADEWATER TRADING|Singapore</t>
  </si>
  <si>
    <t>TX-0130</t>
  </si>
  <si>
    <t>02/10/2026</t>
  </si>
  <si>
    <t>17,854.00</t>
  </si>
  <si>
    <t>larkspur consulting|United States</t>
  </si>
  <si>
    <t xml:space="preserve"> TX0131 </t>
  </si>
  <si>
    <t>10-Feb-2026</t>
  </si>
  <si>
    <t xml:space="preserve"> 1531.00</t>
  </si>
  <si>
    <t>Norvale  Trading Ltd|Cyprus</t>
  </si>
  <si>
    <t>TX0132</t>
  </si>
  <si>
    <t>2026-02-11</t>
  </si>
  <si>
    <t>2083.00</t>
  </si>
  <si>
    <t>tx0133</t>
  </si>
  <si>
    <t>02/11/2026</t>
  </si>
  <si>
    <t>$1,627.00</t>
  </si>
  <si>
    <t>JADEWATER TRADING 	|Singapore</t>
  </si>
  <si>
    <t>TX-0134</t>
  </si>
  <si>
    <t>11-Feb-2026</t>
  </si>
  <si>
    <t>448.00</t>
  </si>
  <si>
    <t xml:space="preserve"> oakfield components|Ireland</t>
  </si>
  <si>
    <t xml:space="preserve"> TX0135 </t>
  </si>
  <si>
    <t>2026-02-12</t>
  </si>
  <si>
    <t xml:space="preserve"> 9550.00</t>
  </si>
  <si>
    <t>Norvale Trading Ltd|Cyprus</t>
  </si>
  <si>
    <t>TX0136</t>
  </si>
  <si>
    <t>02/12/2026</t>
  </si>
  <si>
    <t>4516.00</t>
  </si>
  <si>
    <t>tx0137</t>
  </si>
  <si>
    <t>13-Feb-2026</t>
  </si>
  <si>
    <t>$18,575.00</t>
  </si>
  <si>
    <t>TX-0138</t>
  </si>
  <si>
    <t>2026-02-13</t>
  </si>
  <si>
    <t>8,706.00</t>
  </si>
  <si>
    <t xml:space="preserve"> TX0139 </t>
  </si>
  <si>
    <t>02/13/2026</t>
  </si>
  <si>
    <t xml:space="preserve"> 3511.00</t>
  </si>
  <si>
    <t>Quintal Shipping |Panama</t>
  </si>
  <si>
    <t>TX0140</t>
  </si>
  <si>
    <t>14-Feb-2026</t>
  </si>
  <si>
    <t>19115.00</t>
  </si>
  <si>
    <t>CORVUS METALS|Germany</t>
  </si>
  <si>
    <t>tx0141</t>
  </si>
  <si>
    <t>2026-02-14</t>
  </si>
  <si>
    <t>$1,412.00</t>
  </si>
  <si>
    <t xml:space="preserve"> INVERNESS  TOOLING|United Kingdom</t>
  </si>
  <si>
    <t>TX-0142</t>
  </si>
  <si>
    <t>02/14/2026</t>
  </si>
  <si>
    <t>cli-025</t>
  </si>
  <si>
    <t>621.00</t>
  </si>
  <si>
    <t xml:space="preserve"> TX0143 </t>
  </si>
  <si>
    <t>15-Feb-2026</t>
  </si>
  <si>
    <t xml:space="preserve"> 565.00</t>
  </si>
  <si>
    <t>TX0144</t>
  </si>
  <si>
    <t>2026-02-15</t>
  </si>
  <si>
    <t>2214.00</t>
  </si>
  <si>
    <t>LARKSPUR CONSULTING	|United States</t>
  </si>
  <si>
    <t>tx0145</t>
  </si>
  <si>
    <t>02/15/2026</t>
  </si>
  <si>
    <t>$9,750.00</t>
  </si>
  <si>
    <t>NORVALE TRADING LTD |Cyprus</t>
  </si>
  <si>
    <t>TX-0146</t>
  </si>
  <si>
    <t>2,425.00</t>
  </si>
  <si>
    <t>oakfield  components|Ireland</t>
  </si>
  <si>
    <t xml:space="preserve"> TX0147 </t>
  </si>
  <si>
    <t xml:space="preserve"> 18042.00</t>
  </si>
  <si>
    <t>Petra Energy Partners|United States</t>
  </si>
  <si>
    <t>TX0148</t>
  </si>
  <si>
    <t>2060.00</t>
  </si>
  <si>
    <t>tx0149</t>
  </si>
  <si>
    <t>17-Feb-2026</t>
  </si>
  <si>
    <t>$11,200.00</t>
  </si>
  <si>
    <t>TX-0150</t>
  </si>
  <si>
    <t>2026-02-17</t>
  </si>
  <si>
    <t>456.00</t>
  </si>
  <si>
    <t xml:space="preserve"> TX0151 </t>
  </si>
  <si>
    <t>02/18/2026</t>
  </si>
  <si>
    <t xml:space="preserve"> 1616.00</t>
  </si>
  <si>
    <t>Meridian  Packaging |Canada</t>
  </si>
  <si>
    <t>TX0152</t>
  </si>
  <si>
    <t>18-Feb-2026</t>
  </si>
  <si>
    <t>2351.00</t>
  </si>
  <si>
    <t>MERIDIAN PACKAGING|Canada</t>
  </si>
  <si>
    <t>tx0153</t>
  </si>
  <si>
    <t>2026-02-18</t>
  </si>
  <si>
    <t>$9,900.00</t>
  </si>
  <si>
    <t>TX-0154</t>
  </si>
  <si>
    <t>02/19/2026</t>
  </si>
  <si>
    <t>18,833.00</t>
  </si>
  <si>
    <t xml:space="preserve"> TX0155 </t>
  </si>
  <si>
    <t>19-Feb-2026</t>
  </si>
  <si>
    <t xml:space="preserve"> 8108.00</t>
  </si>
  <si>
    <t xml:space="preserve"> Saltmarsh Foods	|Ireland</t>
  </si>
  <si>
    <t>TX0156</t>
  </si>
  <si>
    <t>2026-02-20</t>
  </si>
  <si>
    <t>903.00</t>
  </si>
  <si>
    <t>tx0157</t>
  </si>
  <si>
    <t>02/20/2026</t>
  </si>
  <si>
    <t>$2,442.00</t>
  </si>
  <si>
    <t>NORVALE TRADING LTD |Cyprus</t>
  </si>
  <si>
    <t>TX-0158</t>
  </si>
  <si>
    <t>20-Feb-2026</t>
  </si>
  <si>
    <t>1,174.00</t>
  </si>
  <si>
    <t>norvale trading ltd|Cyprus</t>
  </si>
  <si>
    <t xml:space="preserve"> TX0159 </t>
  </si>
  <si>
    <t xml:space="preserve"> 1078.00</t>
  </si>
  <si>
    <t>TX0160</t>
  </si>
  <si>
    <t>1366.00</t>
  </si>
  <si>
    <t>tx0161</t>
  </si>
  <si>
    <t>21-Feb-2026</t>
  </si>
  <si>
    <t>$7,756.00</t>
  </si>
  <si>
    <t>BAYTOWN  SUPPLY CO|United States</t>
  </si>
  <si>
    <t>TX-0162</t>
  </si>
  <si>
    <t>2026-02-21</t>
  </si>
  <si>
    <t>8,610.00</t>
  </si>
  <si>
    <t xml:space="preserve"> delta ridge partners|United States</t>
  </si>
  <si>
    <t xml:space="preserve"> TX0163 </t>
  </si>
  <si>
    <t>02/21/2026</t>
  </si>
  <si>
    <t xml:space="preserve"> 8111.00</t>
  </si>
  <si>
    <t>Eastbrook Media |United Kingdom</t>
  </si>
  <si>
    <t>TX0164</t>
  </si>
  <si>
    <t>4705.00</t>
  </si>
  <si>
    <t>tx0165</t>
  </si>
  <si>
    <t>$1,372.00</t>
  </si>
  <si>
    <t>TX-0166</t>
  </si>
  <si>
    <t>cli-005</t>
  </si>
  <si>
    <t>1,962.00</t>
  </si>
  <si>
    <t>inverness  tooling	|United Kingdom</t>
  </si>
  <si>
    <t xml:space="preserve"> TX0167 </t>
  </si>
  <si>
    <t xml:space="preserve"> 7472.00</t>
  </si>
  <si>
    <t>TX0168</t>
  </si>
  <si>
    <t>3263.00</t>
  </si>
  <si>
    <t>tx0169</t>
  </si>
  <si>
    <t>02/22/2026</t>
  </si>
  <si>
    <t>$3,766.00</t>
  </si>
  <si>
    <t xml:space="preserve"> CORVUS METALS |Germany</t>
  </si>
  <si>
    <t>TX-0170</t>
  </si>
  <si>
    <t>22-Feb-2026</t>
  </si>
  <si>
    <t>18,881.00</t>
  </si>
  <si>
    <t>ferrum steel works|Germany</t>
  </si>
  <si>
    <t xml:space="preserve"> TX0171 </t>
  </si>
  <si>
    <t>2026-02-22</t>
  </si>
  <si>
    <t xml:space="preserve"> 349.00</t>
  </si>
  <si>
    <t>Jadewater  Trading|Singapore</t>
  </si>
  <si>
    <t>TX0172</t>
  </si>
  <si>
    <t>5475.00</t>
  </si>
  <si>
    <t>tx0173</t>
  </si>
  <si>
    <t>23-Feb-2026</t>
  </si>
  <si>
    <t>$3,042.00</t>
  </si>
  <si>
    <t>TX-0174</t>
  </si>
  <si>
    <t>2026-02-23</t>
  </si>
  <si>
    <t>cli-003</t>
  </si>
  <si>
    <t>4,847.00</t>
  </si>
  <si>
    <t>jadewater trading|Singapore</t>
  </si>
  <si>
    <t xml:space="preserve"> TX0175 </t>
  </si>
  <si>
    <t>02/23/2026</t>
  </si>
  <si>
    <t xml:space="preserve"> 17137.00</t>
  </si>
  <si>
    <t>Larkspur Consulting |United States</t>
  </si>
  <si>
    <t>TX0176</t>
  </si>
  <si>
    <t>6377.00</t>
  </si>
  <si>
    <t xml:space="preserve"> PETRA  ENERGY PARTNERS|United States</t>
  </si>
  <si>
    <t>tx0177</t>
  </si>
  <si>
    <t>2026-02-24</t>
  </si>
  <si>
    <t>$290.00</t>
  </si>
  <si>
    <t>DELTA RIDGE PARTNERS	|United States</t>
  </si>
  <si>
    <t>TX-0178</t>
  </si>
  <si>
    <t>02/24/2026</t>
  </si>
  <si>
    <t>4,076.00</t>
  </si>
  <si>
    <t>362.00</t>
  </si>
  <si>
    <t xml:space="preserve"> TX0179 </t>
  </si>
  <si>
    <t>25-Feb-2026</t>
  </si>
  <si>
    <t xml:space="preserve"> 8060.00</t>
  </si>
  <si>
    <t>TX0180</t>
  </si>
  <si>
    <t>2026-02-25</t>
  </si>
  <si>
    <t>9205.00</t>
  </si>
  <si>
    <t>tx0181</t>
  </si>
  <si>
    <t>02/25/2026</t>
  </si>
  <si>
    <t>$2,591.00</t>
  </si>
  <si>
    <t>MERIDIAN  PACKAGING |Canada</t>
  </si>
  <si>
    <t>TX-0182</t>
  </si>
  <si>
    <t>3,199.00</t>
  </si>
  <si>
    <t xml:space="preserve"> TX0183 </t>
  </si>
  <si>
    <t xml:space="preserve"> 5023.00</t>
  </si>
  <si>
    <t> Torrent Data Systems|United States</t>
  </si>
  <si>
    <t>TX0184</t>
  </si>
  <si>
    <t>02/26/2026</t>
  </si>
  <si>
    <t>15900.00</t>
  </si>
  <si>
    <t>tx0185</t>
  </si>
  <si>
    <t>26-Feb-2026</t>
  </si>
  <si>
    <t>$4,405.00</t>
  </si>
  <si>
    <t>TX-0186</t>
  </si>
  <si>
    <t>2026-02-26</t>
  </si>
  <si>
    <t>cli-002</t>
  </si>
  <si>
    <t>2,865.00</t>
  </si>
  <si>
    <t>corvus  metals|Germany</t>
  </si>
  <si>
    <t xml:space="preserve"> TX0187 </t>
  </si>
  <si>
    <t xml:space="preserve"> 10987.00</t>
  </si>
  <si>
    <t>Saltmarsh Foods |Ireland</t>
  </si>
  <si>
    <t>TX0188</t>
  </si>
  <si>
    <t>27-Feb-2026</t>
  </si>
  <si>
    <t>4599.00</t>
  </si>
  <si>
    <t>GRANDVIEW LOGISTICS	|Mexico</t>
  </si>
  <si>
    <t>tx0189</t>
  </si>
  <si>
    <t>2026-02-27</t>
  </si>
  <si>
    <t>$16,799.00</t>
  </si>
  <si>
    <t>TX-0190</t>
  </si>
  <si>
    <t>02/27/2026</t>
  </si>
  <si>
    <t>cli-010</t>
  </si>
  <si>
    <t>6,052.00</t>
  </si>
  <si>
    <t xml:space="preserve"> inverness tooling|United Kingdom</t>
  </si>
  <si>
    <t xml:space="preserve"> TX0191 </t>
  </si>
  <si>
    <t xml:space="preserve"> 8820.00</t>
  </si>
  <si>
    <t>TX0192</t>
  </si>
  <si>
    <t>2026-02-28</t>
  </si>
  <si>
    <t>10809.00</t>
  </si>
  <si>
    <t>tx0193</t>
  </si>
  <si>
    <t>03/01/2026</t>
  </si>
  <si>
    <t>$537.00</t>
  </si>
  <si>
    <t>CORVUS METALS |Germany</t>
  </si>
  <si>
    <t>TX-0194</t>
  </si>
  <si>
    <t>02-Mar-2026</t>
  </si>
  <si>
    <t>22,346.00</t>
  </si>
  <si>
    <t>eastbrook media|United Kingdom</t>
  </si>
  <si>
    <t xml:space="preserve"> TX0195 </t>
  </si>
  <si>
    <t>2026-03-03</t>
  </si>
  <si>
    <t xml:space="preserve"> 1401.00</t>
  </si>
  <si>
    <t>TX0196</t>
  </si>
  <si>
    <t>03/03/2026</t>
  </si>
  <si>
    <t>1424.00</t>
  </si>
  <si>
    <t>EASTBROOK  MEDIA|United Kingdom</t>
  </si>
  <si>
    <t>tx0197</t>
  </si>
  <si>
    <t>03-Mar-2026</t>
  </si>
  <si>
    <t>$1,910.00</t>
  </si>
  <si>
    <t>TX-0198</t>
  </si>
  <si>
    <t>6,777.00</t>
  </si>
  <si>
    <t xml:space="preserve"> TX0199 </t>
  </si>
  <si>
    <t>03/04/2026</t>
  </si>
  <si>
    <t xml:space="preserve"> 604.00</t>
  </si>
  <si>
    <t>Corvus Metals 	|Germany</t>
  </si>
  <si>
    <t>TX0200</t>
  </si>
  <si>
    <t>04-Mar-2026</t>
  </si>
  <si>
    <t>1696.00</t>
  </si>
  <si>
    <t>tx0201</t>
  </si>
  <si>
    <t>2026-03-04</t>
  </si>
  <si>
    <t>$9,040.00</t>
  </si>
  <si>
    <t>KELSO  AGRICULTURAL|Australia</t>
  </si>
  <si>
    <t>TX-0202</t>
  </si>
  <si>
    <t>03/05/2026</t>
  </si>
  <si>
    <t>583.00</t>
  </si>
  <si>
    <t xml:space="preserve"> TX0203 </t>
  </si>
  <si>
    <t>05-Mar-2026</t>
  </si>
  <si>
    <t xml:space="preserve"> 10701.00</t>
  </si>
  <si>
    <t>Meridian Packaging|Canada</t>
  </si>
  <si>
    <t>TX0204</t>
  </si>
  <si>
    <t>2026-03-05</t>
  </si>
  <si>
    <t>5830.00</t>
  </si>
  <si>
    <t xml:space="preserve"> TORRENT DATA SYSTEMS|United States</t>
  </si>
  <si>
    <t>tx0205</t>
  </si>
  <si>
    <t>03/06/2026</t>
  </si>
  <si>
    <t>$21,669.00</t>
  </si>
  <si>
    <t>TX-0206</t>
  </si>
  <si>
    <t>06-Mar-2026</t>
  </si>
  <si>
    <t>1,869.00</t>
  </si>
  <si>
    <t xml:space="preserve"> TX0207 </t>
  </si>
  <si>
    <t>2026-03-07</t>
  </si>
  <si>
    <t xml:space="preserve"> 938.00</t>
  </si>
  <si>
    <t>Baytown Supply Co|United States</t>
  </si>
  <si>
    <t>TX0208</t>
  </si>
  <si>
    <t>03/07/2026</t>
  </si>
  <si>
    <t>1560.00</t>
  </si>
  <si>
    <t>tx0209</t>
  </si>
  <si>
    <t>07-Mar-2026</t>
  </si>
  <si>
    <t>$759.00</t>
  </si>
  <si>
    <t>EASTBROOK MEDIA|United Kingdom</t>
  </si>
  <si>
    <t>TX-0210</t>
  </si>
  <si>
    <t>2,389.00</t>
  </si>
  <si>
    <t>eastbrook media	|United Kingdom</t>
  </si>
  <si>
    <t xml:space="preserve"> TX0211 </t>
  </si>
  <si>
    <t xml:space="preserve"> 7393.00</t>
  </si>
  <si>
    <t xml:space="preserve"> Norvale  Trading Ltd |Cyprus</t>
  </si>
  <si>
    <t>TX0212</t>
  </si>
  <si>
    <t>500.00</t>
  </si>
  <si>
    <t>tx0213</t>
  </si>
  <si>
    <t>$4,929.00</t>
  </si>
  <si>
    <t>TX-0214</t>
  </si>
  <si>
    <t>03/08/2026</t>
  </si>
  <si>
    <t>cli-004</t>
  </si>
  <si>
    <t>5,502.00</t>
  </si>
  <si>
    <t xml:space="preserve"> TX0215 </t>
  </si>
  <si>
    <t>08-Mar-2026</t>
  </si>
  <si>
    <t xml:space="preserve"> 23630.00</t>
  </si>
  <si>
    <t>TX0216</t>
  </si>
  <si>
    <t>2026-03-08</t>
  </si>
  <si>
    <t>18167.00</t>
  </si>
  <si>
    <t>JADEWATER  TRADING|Singapore</t>
  </si>
  <si>
    <t>tx0217</t>
  </si>
  <si>
    <t>$878.00</t>
  </si>
  <si>
    <t>LARKSPUR CONSULTING |United States</t>
  </si>
  <si>
    <t>TX-0218</t>
  </si>
  <si>
    <t>09-Mar-2026</t>
  </si>
  <si>
    <t>4,671.00</t>
  </si>
  <si>
    <t xml:space="preserve"> grandview logistics|Mexico</t>
  </si>
  <si>
    <t xml:space="preserve"> TX0219 </t>
  </si>
  <si>
    <t>2026-03-10</t>
  </si>
  <si>
    <t xml:space="preserve"> 1609.00</t>
  </si>
  <si>
    <t>TX0220</t>
  </si>
  <si>
    <t>03/10/2026</t>
  </si>
  <si>
    <t>8189.00</t>
  </si>
  <si>
    <t>tx0221</t>
  </si>
  <si>
    <t>10-Mar-2026</t>
  </si>
  <si>
    <t>$185.00</t>
  </si>
  <si>
    <t>EASTBROOK  MEDIA	|United Kingdom</t>
  </si>
  <si>
    <t>TX-0222</t>
  </si>
  <si>
    <t>7,341.00</t>
  </si>
  <si>
    <t>inverness tooling|United Kingdom</t>
  </si>
  <si>
    <t xml:space="preserve"> TX0223 </t>
  </si>
  <si>
    <t xml:space="preserve"> 2128.00</t>
  </si>
  <si>
    <t>TX0224</t>
  </si>
  <si>
    <t>678.00</t>
  </si>
  <si>
    <t>tx0225</t>
  </si>
  <si>
    <t>$2,612.00</t>
  </si>
  <si>
    <t xml:space="preserve"> NORVALE TRADING LTD|Cyprus</t>
  </si>
  <si>
    <t>TX-0226</t>
  </si>
  <si>
    <t>254.00</t>
  </si>
  <si>
    <t>quintal  shipping|Panama</t>
  </si>
  <si>
    <t xml:space="preserve"> TX0227 </t>
  </si>
  <si>
    <t>11-Mar-2026</t>
  </si>
  <si>
    <t xml:space="preserve"> 23432.00</t>
  </si>
  <si>
    <t>Delta Ridge Partners|United States</t>
  </si>
  <si>
    <t>TX0228</t>
  </si>
  <si>
    <t>2026-03-11</t>
  </si>
  <si>
    <t>2421.00</t>
  </si>
  <si>
    <t>tx0229</t>
  </si>
  <si>
    <t>03/11/2026</t>
  </si>
  <si>
    <t>$4,651.00</t>
  </si>
  <si>
    <t>TX-0230</t>
  </si>
  <si>
    <t>20,751.00</t>
  </si>
  <si>
    <t>quintal shipping|Panama</t>
  </si>
  <si>
    <t xml:space="preserve"> TX0231 </t>
  </si>
  <si>
    <t xml:space="preserve"> 929.00</t>
  </si>
  <si>
    <t>Saltmarsh  Foods|Ireland</t>
  </si>
  <si>
    <t>TX0232</t>
  </si>
  <si>
    <t>283.00</t>
  </si>
  <si>
    <t xml:space="preserve"> TORRENT DATA SYSTEMS	|United States</t>
  </si>
  <si>
    <t>tx0233</t>
  </si>
  <si>
    <t>12-Mar-2026</t>
  </si>
  <si>
    <t>$1,839.00</t>
  </si>
  <si>
    <t>TX-0234</t>
  </si>
  <si>
    <t>2026-03-12</t>
  </si>
  <si>
    <t>1,704.00</t>
  </si>
  <si>
    <t xml:space="preserve"> TX0235 </t>
  </si>
  <si>
    <t>03/12/2026</t>
  </si>
  <si>
    <t xml:space="preserve"> 6883.00</t>
  </si>
  <si>
    <t>Riverton Textiles |Mexico</t>
  </si>
  <si>
    <t>TX0236</t>
  </si>
  <si>
    <t>13-Mar-2026</t>
  </si>
  <si>
    <t>3610.00</t>
  </si>
  <si>
    <t>tx0237</t>
  </si>
  <si>
    <t>2026-03-13</t>
  </si>
  <si>
    <t>$20,977.00</t>
  </si>
  <si>
    <t>TX-0238</t>
  </si>
  <si>
    <t>03/13/2026</t>
  </si>
  <si>
    <t>cli-014</t>
  </si>
  <si>
    <t>12,097.00</t>
  </si>
  <si>
    <t xml:space="preserve"> TX0239 </t>
  </si>
  <si>
    <t xml:space="preserve"> 2473.00</t>
  </si>
  <si>
    <t xml:space="preserve"> Jadewater Trading|Singapore</t>
  </si>
  <si>
    <t>TX0240</t>
  </si>
  <si>
    <t>8845.00</t>
  </si>
  <si>
    <t>tx0241</t>
  </si>
  <si>
    <t>$1,177.00</t>
  </si>
  <si>
    <t>QUINTAL  SHIPPING |Panama</t>
  </si>
  <si>
    <t>TX-0242</t>
  </si>
  <si>
    <t>10,728.00</t>
  </si>
  <si>
    <t xml:space="preserve"> TX0243 </t>
  </si>
  <si>
    <t>2026-03-14</t>
  </si>
  <si>
    <t xml:space="preserve"> 21413.00</t>
  </si>
  <si>
    <t>Larkspur Consulting	|United States</t>
  </si>
  <si>
    <t>TX0244</t>
  </si>
  <si>
    <t>03/14/2026</t>
  </si>
  <si>
    <t>603.00</t>
  </si>
  <si>
    <t>tx0245</t>
  </si>
  <si>
    <t>15-Mar-2026</t>
  </si>
  <si>
    <t>$10,846.00</t>
  </si>
  <si>
    <t>TX-0246</t>
  </si>
  <si>
    <t>2026-03-15</t>
  </si>
  <si>
    <t>1,619.00</t>
  </si>
  <si>
    <t xml:space="preserve"> delta  ridge partners|United States</t>
  </si>
  <si>
    <t xml:space="preserve"> TX0247 </t>
  </si>
  <si>
    <t>03/15/2026</t>
  </si>
  <si>
    <t xml:space="preserve"> 17483.00</t>
  </si>
  <si>
    <t>TX0248</t>
  </si>
  <si>
    <t>6424.00</t>
  </si>
  <si>
    <t>RIVERTON TEXTILES|Mexico</t>
  </si>
  <si>
    <t>tx0249</t>
  </si>
  <si>
    <t>2026-03-16</t>
  </si>
  <si>
    <t>$1,290.00</t>
  </si>
  <si>
    <t>TX-0250</t>
  </si>
  <si>
    <t>03/16/2026</t>
  </si>
  <si>
    <t>2,596.00</t>
  </si>
  <si>
    <t xml:space="preserve"> TX0251 </t>
  </si>
  <si>
    <t>16-Mar-2026</t>
  </si>
  <si>
    <t xml:space="preserve"> 1310.00</t>
  </si>
  <si>
    <t>Delta  Ridge Partners|United States</t>
  </si>
  <si>
    <t>TX0252</t>
  </si>
  <si>
    <t>21562.00</t>
  </si>
  <si>
    <t>tx0253</t>
  </si>
  <si>
    <t>$6,504.00</t>
  </si>
  <si>
    <t xml:space="preserve"> JADEWATER TRADING |Singapore</t>
  </si>
  <si>
    <t>TX-0254</t>
  </si>
  <si>
    <t>17-Mar-2026</t>
  </si>
  <si>
    <t>3,371.00</t>
  </si>
  <si>
    <t>inverness tooling	|United Kingdom</t>
  </si>
  <si>
    <t xml:space="preserve"> TX0255 </t>
  </si>
  <si>
    <t>2026-03-17</t>
  </si>
  <si>
    <t xml:space="preserve"> 1557.00</t>
  </si>
  <si>
    <t>TX0256</t>
  </si>
  <si>
    <t>03/17/2026</t>
  </si>
  <si>
    <t>1780.00</t>
  </si>
  <si>
    <t>tx0257</t>
  </si>
  <si>
    <t>18-Mar-2026</t>
  </si>
  <si>
    <t>$1,917.00</t>
  </si>
  <si>
    <t>TX-0258</t>
  </si>
  <si>
    <t>2026-03-18</t>
  </si>
  <si>
    <t>4,869.00</t>
  </si>
  <si>
    <t xml:space="preserve"> TX0259 </t>
  </si>
  <si>
    <t>03/18/2026</t>
  </si>
  <si>
    <t xml:space="preserve"> 4682.00</t>
  </si>
  <si>
    <t>Inverness Tooling |United Kingdom</t>
  </si>
  <si>
    <t>TX0260</t>
  </si>
  <si>
    <t>1977.00</t>
  </si>
  <si>
    <t xml:space="preserve"> OAKFIELD COMPONENTS|Ireland</t>
  </si>
  <si>
    <t>tx0261</t>
  </si>
  <si>
    <t>$10,676.00</t>
  </si>
  <si>
    <t>SALTMARSH  FOODS|Ireland</t>
  </si>
  <si>
    <t>TX-0262</t>
  </si>
  <si>
    <t>03/19/2026</t>
  </si>
  <si>
    <t>792.00</t>
  </si>
  <si>
    <t xml:space="preserve"> TX0263 </t>
  </si>
  <si>
    <t>19-Mar-2026</t>
  </si>
  <si>
    <t xml:space="preserve"> 1818.00</t>
  </si>
  <si>
    <t>TX0264</t>
  </si>
  <si>
    <t>2026-03-19</t>
  </si>
  <si>
    <t>12574.00</t>
  </si>
  <si>
    <t>tx0265</t>
  </si>
  <si>
    <t>03/20/2026</t>
  </si>
  <si>
    <t>$3,238.00</t>
  </si>
  <si>
    <t>EASTBROOK MEDIA 	|United Kingdom</t>
  </si>
  <si>
    <t>TX-0266</t>
  </si>
  <si>
    <t>21-Mar-2026</t>
  </si>
  <si>
    <t>8,182.00</t>
  </si>
  <si>
    <t>halcyon  marine|Singapore</t>
  </si>
  <si>
    <t xml:space="preserve"> TX0267 </t>
  </si>
  <si>
    <t>2026-03-21</t>
  </si>
  <si>
    <t xml:space="preserve"> 17144.00</t>
  </si>
  <si>
    <t xml:space="preserve"> Halcyon Marine|Singapore</t>
  </si>
  <si>
    <t>TX0268</t>
  </si>
  <si>
    <t>03/21/2026</t>
  </si>
  <si>
    <t>12777.00</t>
  </si>
  <si>
    <t>tx0269</t>
  </si>
  <si>
    <t>22-Mar-2026</t>
  </si>
  <si>
    <t>$689.00</t>
  </si>
  <si>
    <t>TX-0270</t>
  </si>
  <si>
    <t>2026-03-22</t>
  </si>
  <si>
    <t>1,853.00</t>
  </si>
  <si>
    <t xml:space="preserve"> TX0271 </t>
  </si>
  <si>
    <t>03/22/2026</t>
  </si>
  <si>
    <t xml:space="preserve"> 2389.00</t>
  </si>
  <si>
    <t>Torrent  Data Systems |United States</t>
  </si>
  <si>
    <t>TX0272</t>
  </si>
  <si>
    <t>23-Mar-2026</t>
  </si>
  <si>
    <t>6013.00</t>
  </si>
  <si>
    <t>tx0273</t>
  </si>
  <si>
    <t>2026-03-23</t>
  </si>
  <si>
    <t>$16,373.00</t>
  </si>
  <si>
    <t>TX-0274</t>
  </si>
  <si>
    <t>03/23/2026</t>
  </si>
  <si>
    <t>2,037.00</t>
  </si>
  <si>
    <t> norvale trading ltd|Cyprus</t>
  </si>
  <si>
    <t xml:space="preserve"> TX0275 </t>
  </si>
  <si>
    <t>24-Mar-2026</t>
  </si>
  <si>
    <t xml:space="preserve"> 5056.00</t>
  </si>
  <si>
    <t>TX0276</t>
  </si>
  <si>
    <t>2026-03-24</t>
  </si>
  <si>
    <t>760.00</t>
  </si>
  <si>
    <t>GRANDVIEW  LOGISTICS	|Mexico</t>
  </si>
  <si>
    <t>tx0277</t>
  </si>
  <si>
    <t>03/24/2026</t>
  </si>
  <si>
    <t>$4,980.00</t>
  </si>
  <si>
    <t>QUINTAL SHIPPING |Panama</t>
  </si>
  <si>
    <t>TX-0278</t>
  </si>
  <si>
    <t>25-Mar-2026</t>
  </si>
  <si>
    <t>10,546.00</t>
  </si>
  <si>
    <t xml:space="preserve"> TX0279 </t>
  </si>
  <si>
    <t>2026-03-25</t>
  </si>
  <si>
    <t xml:space="preserve"> 1765.00</t>
  </si>
  <si>
    <t>TX0280</t>
  </si>
  <si>
    <t>03/26/2026</t>
  </si>
  <si>
    <t>15899.00</t>
  </si>
  <si>
    <t>tx0281</t>
  </si>
  <si>
    <t>26-Mar-2026</t>
  </si>
  <si>
    <t>$6,378.00</t>
  </si>
  <si>
    <t xml:space="preserve"> DELTA  RIDGE PARTNERS|United States</t>
  </si>
  <si>
    <t>TX-0282</t>
  </si>
  <si>
    <t>2026-03-26</t>
  </si>
  <si>
    <t>7,791.00</t>
  </si>
  <si>
    <t xml:space="preserve"> TX0283 </t>
  </si>
  <si>
    <t xml:space="preserve"> 21010.00</t>
  </si>
  <si>
    <t>TX0284</t>
  </si>
  <si>
    <t>1311.00</t>
  </si>
  <si>
    <t>tx0285</t>
  </si>
  <si>
    <t>$125.00</t>
  </si>
  <si>
    <t>TX-0286</t>
  </si>
  <si>
    <t>11,807.00</t>
  </si>
  <si>
    <t xml:space="preserve"> TX0287 </t>
  </si>
  <si>
    <t>27-Mar-2026</t>
  </si>
  <si>
    <t xml:space="preserve"> 109.00</t>
  </si>
  <si>
    <t>Eastbrook Media	|United Kingdom</t>
  </si>
  <si>
    <t>TX0288</t>
  </si>
  <si>
    <t>2026-03-27</t>
  </si>
  <si>
    <t>3110.00</t>
  </si>
  <si>
    <t>tx0289</t>
  </si>
  <si>
    <t>03/27/2026</t>
  </si>
  <si>
    <t>$2,106.00</t>
  </si>
  <si>
    <t>TORRENT DATA SYSTEMS |United States</t>
  </si>
  <si>
    <t>TX-0290</t>
  </si>
  <si>
    <t>28-Mar-2026</t>
  </si>
  <si>
    <t>6,642.00</t>
  </si>
  <si>
    <t xml:space="preserve"> TX0291 </t>
  </si>
  <si>
    <t>2026-03-28</t>
  </si>
  <si>
    <t xml:space="preserve"> 8291.00</t>
  </si>
  <si>
    <t>TX0292</t>
  </si>
  <si>
    <t>03/28/2026</t>
  </si>
  <si>
    <t>1731.00</t>
  </si>
  <si>
    <t>tx0293</t>
  </si>
  <si>
    <t>29-Mar-2026</t>
  </si>
  <si>
    <t>$2,401.00</t>
  </si>
  <si>
    <t>TX-0294</t>
  </si>
  <si>
    <t>2026-03-29</t>
  </si>
  <si>
    <t>83.00</t>
  </si>
  <si>
    <t xml:space="preserve"> TX0295 </t>
  </si>
  <si>
    <t>03/29/2026</t>
  </si>
  <si>
    <t xml:space="preserve"> 2238.00</t>
  </si>
  <si>
    <t xml:space="preserve"> Halcyon Marine |Singapore</t>
  </si>
  <si>
    <t>TX0296</t>
  </si>
  <si>
    <t>1301.00</t>
  </si>
  <si>
    <t>INVERNESS  TOOLING|United Kingdom</t>
  </si>
  <si>
    <t>tx0297</t>
  </si>
  <si>
    <t>$4,187.00</t>
  </si>
  <si>
    <t>TX-0298</t>
  </si>
  <si>
    <t>03/30/2026</t>
  </si>
  <si>
    <t>10,917.00</t>
  </si>
  <si>
    <t>corvus metals	|Germany</t>
  </si>
  <si>
    <t xml:space="preserve"> TX0299 </t>
  </si>
  <si>
    <t>31-Mar-2026</t>
  </si>
  <si>
    <t xml:space="preserve"> 3884.00</t>
  </si>
  <si>
    <t>Jadewater Trading|Singapore</t>
  </si>
  <si>
    <t>TX0300</t>
  </si>
  <si>
    <t>2026-03-31</t>
  </si>
  <si>
    <t>16333.00</t>
  </si>
  <si>
    <t>LARKSPUR CONSULTING|United States</t>
  </si>
  <si>
    <t>counterparty</t>
  </si>
  <si>
    <t>05 PivotTables</t>
  </si>
  <si>
    <t>TX0001</t>
  </si>
  <si>
    <t>Alpine Freight Services</t>
  </si>
  <si>
    <t>This is the cleaned transaction table from yesterday, as one Excel Table</t>
  </si>
  <si>
    <t>TX0002</t>
  </si>
  <si>
    <t>Petra Energy Partners</t>
  </si>
  <si>
    <t>called tblTxn, with the client name and risk rating joined on.</t>
  </si>
  <si>
    <t>TX0003</t>
  </si>
  <si>
    <t>Corvus Metals</t>
  </si>
  <si>
    <t>300 rows, January to March 2026.</t>
  </si>
  <si>
    <t>Ferrum Steel Works</t>
  </si>
  <si>
    <t>TX0005</t>
  </si>
  <si>
    <t>Grandview Logistics</t>
  </si>
  <si>
    <t>Pivots go on NEW sheets, not on this one</t>
  </si>
  <si>
    <t>TX0006</t>
  </si>
  <si>
    <t>Kelso Agricultural</t>
  </si>
  <si>
    <t>We will create three, and name the sheets as we go:</t>
  </si>
  <si>
    <t>TX0007</t>
  </si>
  <si>
    <t>Delta Ridge Partners</t>
  </si>
  <si>
    <t xml:space="preserve">  05a_ByClient   spend by client and month</t>
  </si>
  <si>
    <t>Quintal Shipping</t>
  </si>
  <si>
    <t>Panama</t>
  </si>
  <si>
    <t xml:space="preserve">  05b_Service    budget vs actual by service line</t>
  </si>
  <si>
    <t>TX0009</t>
  </si>
  <si>
    <t>Riverton Textiles</t>
  </si>
  <si>
    <t xml:space="preserve">  05c_AML        cash activity by counterparty</t>
  </si>
  <si>
    <t>TX0010</t>
  </si>
  <si>
    <t>Baytown Supply Co</t>
  </si>
  <si>
    <t>TX0011</t>
  </si>
  <si>
    <t>Leave this sheet alone. It is the source data. If you break it, every</t>
  </si>
  <si>
    <t>pivot built on it breaks too.</t>
  </si>
  <si>
    <t>TX0013</t>
  </si>
  <si>
    <t>Meridian Packaging</t>
  </si>
  <si>
    <t>TX0014</t>
  </si>
  <si>
    <t>TX0015</t>
  </si>
  <si>
    <t>Eastbrook Media</t>
  </si>
  <si>
    <t>TX0017</t>
  </si>
  <si>
    <t>TX0018</t>
  </si>
  <si>
    <t>TX0019</t>
  </si>
  <si>
    <t>Jadewater Trading</t>
  </si>
  <si>
    <t>Norvale Trading Ltd</t>
  </si>
  <si>
    <t>Cyprus</t>
  </si>
  <si>
    <t>TX0021</t>
  </si>
  <si>
    <t>Saltmarsh Foods</t>
  </si>
  <si>
    <t>TX0022</t>
  </si>
  <si>
    <t>TX0023</t>
  </si>
  <si>
    <t>Larkspur Consulting</t>
  </si>
  <si>
    <t>TX0025</t>
  </si>
  <si>
    <t>TX0026</t>
  </si>
  <si>
    <t>TX0027</t>
  </si>
  <si>
    <t>TX0029</t>
  </si>
  <si>
    <t>Inverness Tooling</t>
  </si>
  <si>
    <t>TX0030</t>
  </si>
  <si>
    <t>Oakfield Components</t>
  </si>
  <si>
    <t>TX0031</t>
  </si>
  <si>
    <t>TX0033</t>
  </si>
  <si>
    <t>TX0034</t>
  </si>
  <si>
    <t>TX0035</t>
  </si>
  <si>
    <t>TX0037</t>
  </si>
  <si>
    <t>TX0038</t>
  </si>
  <si>
    <t>TX0039</t>
  </si>
  <si>
    <t>Torrent Data Systems</t>
  </si>
  <si>
    <t>TX0041</t>
  </si>
  <si>
    <t>TX0042</t>
  </si>
  <si>
    <t>TX0043</t>
  </si>
  <si>
    <t>TX0045</t>
  </si>
  <si>
    <t>TX0046</t>
  </si>
  <si>
    <t>TX0047</t>
  </si>
  <si>
    <t>TX0049</t>
  </si>
  <si>
    <t>TX0050</t>
  </si>
  <si>
    <t>TX0051</t>
  </si>
  <si>
    <t>TX0053</t>
  </si>
  <si>
    <t>TX0054</t>
  </si>
  <si>
    <t>TX0055</t>
  </si>
  <si>
    <t>TX0057</t>
  </si>
  <si>
    <t>TX0058</t>
  </si>
  <si>
    <t>Halcyon Marine</t>
  </si>
  <si>
    <t>TX0059</t>
  </si>
  <si>
    <t>TX0061</t>
  </si>
  <si>
    <t>TX0062</t>
  </si>
  <si>
    <t>TX0063</t>
  </si>
  <si>
    <t>TX0065</t>
  </si>
  <si>
    <t>TX0066</t>
  </si>
  <si>
    <t>TX0067</t>
  </si>
  <si>
    <t>TX0069</t>
  </si>
  <si>
    <t>TX0070</t>
  </si>
  <si>
    <t>TX0071</t>
  </si>
  <si>
    <t>TX0073</t>
  </si>
  <si>
    <t>TX0074</t>
  </si>
  <si>
    <t>TX0075</t>
  </si>
  <si>
    <t>TX0077</t>
  </si>
  <si>
    <t>TX0078</t>
  </si>
  <si>
    <t>TX0079</t>
  </si>
  <si>
    <t>TX0081</t>
  </si>
  <si>
    <t>TX0082</t>
  </si>
  <si>
    <t>TX0083</t>
  </si>
  <si>
    <t>TX0085</t>
  </si>
  <si>
    <t>TX0086</t>
  </si>
  <si>
    <t>TX0087</t>
  </si>
  <si>
    <t>TX0089</t>
  </si>
  <si>
    <t>TX0090</t>
  </si>
  <si>
    <t>TX0091</t>
  </si>
  <si>
    <t>TX0093</t>
  </si>
  <si>
    <t>TX0094</t>
  </si>
  <si>
    <t>TX0095</t>
  </si>
  <si>
    <t>TX0097</t>
  </si>
  <si>
    <t>TX0098</t>
  </si>
  <si>
    <t>TX0099</t>
  </si>
  <si>
    <t>TX0101</t>
  </si>
  <si>
    <t>TX0102</t>
  </si>
  <si>
    <t>TX0103</t>
  </si>
  <si>
    <t>TX0105</t>
  </si>
  <si>
    <t>TX0106</t>
  </si>
  <si>
    <t>TX0107</t>
  </si>
  <si>
    <t>TX0109</t>
  </si>
  <si>
    <t>TX0110</t>
  </si>
  <si>
    <t>TX0111</t>
  </si>
  <si>
    <t>TX0113</t>
  </si>
  <si>
    <t>TX0114</t>
  </si>
  <si>
    <t>TX0115</t>
  </si>
  <si>
    <t>TX0117</t>
  </si>
  <si>
    <t>TX0118</t>
  </si>
  <si>
    <t>TX0119</t>
  </si>
  <si>
    <t>TX0121</t>
  </si>
  <si>
    <t>TX0122</t>
  </si>
  <si>
    <t>TX0123</t>
  </si>
  <si>
    <t>TX0125</t>
  </si>
  <si>
    <t>TX0126</t>
  </si>
  <si>
    <t>TX0127</t>
  </si>
  <si>
    <t>TX0129</t>
  </si>
  <si>
    <t>TX0130</t>
  </si>
  <si>
    <t>TX0131</t>
  </si>
  <si>
    <t>TX0133</t>
  </si>
  <si>
    <t>TX0134</t>
  </si>
  <si>
    <t>TX0135</t>
  </si>
  <si>
    <t>TX0137</t>
  </si>
  <si>
    <t>TX0138</t>
  </si>
  <si>
    <t>TX0139</t>
  </si>
  <si>
    <t>TX0141</t>
  </si>
  <si>
    <t>TX0142</t>
  </si>
  <si>
    <t>TX0143</t>
  </si>
  <si>
    <t>TX0145</t>
  </si>
  <si>
    <t>TX0146</t>
  </si>
  <si>
    <t>TX0147</t>
  </si>
  <si>
    <t>TX0149</t>
  </si>
  <si>
    <t>TX0150</t>
  </si>
  <si>
    <t>TX0151</t>
  </si>
  <si>
    <t>TX0153</t>
  </si>
  <si>
    <t>TX0154</t>
  </si>
  <si>
    <t>TX0155</t>
  </si>
  <si>
    <t>TX0157</t>
  </si>
  <si>
    <t>TX0158</t>
  </si>
  <si>
    <t>TX0159</t>
  </si>
  <si>
    <t>TX0161</t>
  </si>
  <si>
    <t>TX0162</t>
  </si>
  <si>
    <t>TX0163</t>
  </si>
  <si>
    <t>TX0165</t>
  </si>
  <si>
    <t>TX0166</t>
  </si>
  <si>
    <t>TX0167</t>
  </si>
  <si>
    <t>TX0169</t>
  </si>
  <si>
    <t>TX0170</t>
  </si>
  <si>
    <t>TX0171</t>
  </si>
  <si>
    <t>TX0173</t>
  </si>
  <si>
    <t>TX0174</t>
  </si>
  <si>
    <t>TX0175</t>
  </si>
  <si>
    <t>TX0177</t>
  </si>
  <si>
    <t>TX0178</t>
  </si>
  <si>
    <t>TX0179</t>
  </si>
  <si>
    <t>TX0181</t>
  </si>
  <si>
    <t>TX0182</t>
  </si>
  <si>
    <t>TX0183</t>
  </si>
  <si>
    <t>TX0185</t>
  </si>
  <si>
    <t>TX0186</t>
  </si>
  <si>
    <t>TX0187</t>
  </si>
  <si>
    <t>TX0189</t>
  </si>
  <si>
    <t>TX0190</t>
  </si>
  <si>
    <t>TX0191</t>
  </si>
  <si>
    <t>TX0193</t>
  </si>
  <si>
    <t>TX0194</t>
  </si>
  <si>
    <t>TX0195</t>
  </si>
  <si>
    <t>TX0197</t>
  </si>
  <si>
    <t>TX0198</t>
  </si>
  <si>
    <t>TX0199</t>
  </si>
  <si>
    <t>TX0201</t>
  </si>
  <si>
    <t>TX0202</t>
  </si>
  <si>
    <t>TX0203</t>
  </si>
  <si>
    <t>TX0205</t>
  </si>
  <si>
    <t>TX0206</t>
  </si>
  <si>
    <t>TX0207</t>
  </si>
  <si>
    <t>TX0209</t>
  </si>
  <si>
    <t>TX0210</t>
  </si>
  <si>
    <t>TX0211</t>
  </si>
  <si>
    <t>TX0213</t>
  </si>
  <si>
    <t>TX0214</t>
  </si>
  <si>
    <t>TX0215</t>
  </si>
  <si>
    <t>TX0217</t>
  </si>
  <si>
    <t>TX0218</t>
  </si>
  <si>
    <t>TX0219</t>
  </si>
  <si>
    <t>TX0221</t>
  </si>
  <si>
    <t>TX0222</t>
  </si>
  <si>
    <t>TX0223</t>
  </si>
  <si>
    <t>TX0225</t>
  </si>
  <si>
    <t>TX0226</t>
  </si>
  <si>
    <t>TX0227</t>
  </si>
  <si>
    <t>TX0229</t>
  </si>
  <si>
    <t>TX0230</t>
  </si>
  <si>
    <t>TX0231</t>
  </si>
  <si>
    <t>TX0233</t>
  </si>
  <si>
    <t>TX0234</t>
  </si>
  <si>
    <t>TX0235</t>
  </si>
  <si>
    <t>TX0237</t>
  </si>
  <si>
    <t>TX0238</t>
  </si>
  <si>
    <t>TX0239</t>
  </si>
  <si>
    <t>TX0241</t>
  </si>
  <si>
    <t>TX0242</t>
  </si>
  <si>
    <t>TX0243</t>
  </si>
  <si>
    <t>TX0245</t>
  </si>
  <si>
    <t>TX0246</t>
  </si>
  <si>
    <t>TX0247</t>
  </si>
  <si>
    <t>TX0249</t>
  </si>
  <si>
    <t>TX0250</t>
  </si>
  <si>
    <t>TX0251</t>
  </si>
  <si>
    <t>TX0253</t>
  </si>
  <si>
    <t>TX0254</t>
  </si>
  <si>
    <t>TX0255</t>
  </si>
  <si>
    <t>TX0257</t>
  </si>
  <si>
    <t>TX0258</t>
  </si>
  <si>
    <t>TX0259</t>
  </si>
  <si>
    <t>TX0261</t>
  </si>
  <si>
    <t>TX0262</t>
  </si>
  <si>
    <t>TX0263</t>
  </si>
  <si>
    <t>TX0265</t>
  </si>
  <si>
    <t>TX0266</t>
  </si>
  <si>
    <t>TX0267</t>
  </si>
  <si>
    <t>TX0269</t>
  </si>
  <si>
    <t>TX0270</t>
  </si>
  <si>
    <t>TX0271</t>
  </si>
  <si>
    <t>TX0273</t>
  </si>
  <si>
    <t>TX0274</t>
  </si>
  <si>
    <t>TX0275</t>
  </si>
  <si>
    <t>TX0277</t>
  </si>
  <si>
    <t>TX0278</t>
  </si>
  <si>
    <t>TX0279</t>
  </si>
  <si>
    <t>TX0281</t>
  </si>
  <si>
    <t>TX0282</t>
  </si>
  <si>
    <t>TX0283</t>
  </si>
  <si>
    <t>TX0285</t>
  </si>
  <si>
    <t>TX0286</t>
  </si>
  <si>
    <t>TX0287</t>
  </si>
  <si>
    <t>TX0289</t>
  </si>
  <si>
    <t>TX0290</t>
  </si>
  <si>
    <t>TX0291</t>
  </si>
  <si>
    <t>TX0293</t>
  </si>
  <si>
    <t>TX0294</t>
  </si>
  <si>
    <t>TX0295</t>
  </si>
  <si>
    <t>TX0297</t>
  </si>
  <si>
    <t>TX0298</t>
  </si>
  <si>
    <t>TX0299</t>
  </si>
  <si>
    <t>bank_ref</t>
  </si>
  <si>
    <t>post_date</t>
  </si>
  <si>
    <t>description</t>
  </si>
  <si>
    <t>entry_id</t>
  </si>
  <si>
    <t>entry_date</t>
  </si>
  <si>
    <t>txn_ref</t>
  </si>
  <si>
    <t>account</t>
  </si>
  <si>
    <t>issue_no</t>
  </si>
  <si>
    <t>reference</t>
  </si>
  <si>
    <t>found_in</t>
  </si>
  <si>
    <t>issue_type</t>
  </si>
  <si>
    <t>bank_amount</t>
  </si>
  <si>
    <t>ledger_amount</t>
  </si>
  <si>
    <t>owner</t>
  </si>
  <si>
    <t>06 Reconciliation</t>
  </si>
  <si>
    <t>PMT-2026-0001</t>
  </si>
  <si>
    <t>PAYMENT 0001 ALPINE FREIGHT SERVICES</t>
  </si>
  <si>
    <t>GL-0001</t>
  </si>
  <si>
    <t>6100 Professional Fees</t>
  </si>
  <si>
    <t>Two systems that are supposed to agree. On the left, what the bank says</t>
  </si>
  <si>
    <t>PMT-2026-0002</t>
  </si>
  <si>
    <t>PAYMENT 0002 BAYTOWN SUPPLY CO</t>
  </si>
  <si>
    <t>GL-0015</t>
  </si>
  <si>
    <t>PMT-2026-0015</t>
  </si>
  <si>
    <t>5000 Subcontractors</t>
  </si>
  <si>
    <t>left the account (tblBank, 120 rows, columns A to D). On the right, what we</t>
  </si>
  <si>
    <t>PMT-2026-0003</t>
  </si>
  <si>
    <t>PAYMENT 0003 CORVUS METALS</t>
  </si>
  <si>
    <t>GL-0029</t>
  </si>
  <si>
    <t>PMT-2026-0029</t>
  </si>
  <si>
    <t>7000 Bank Charges</t>
  </si>
  <si>
    <t>posted to the general ledger (tblLedger, 121 rows, columns J to N). They</t>
  </si>
  <si>
    <t>PMT-2026-0004</t>
  </si>
  <si>
    <t>PAYMENT 0004 DELTA RIDGE PARTNERS</t>
  </si>
  <si>
    <t>GL-0043</t>
  </si>
  <si>
    <t>PMT-2026-0043</t>
  </si>
  <si>
    <t>do not agree.</t>
  </si>
  <si>
    <t>PMT-2026-0005</t>
  </si>
  <si>
    <t>PAYMENT 0005 EASTBROOK MEDIA</t>
  </si>
  <si>
    <t>GL-0057</t>
  </si>
  <si>
    <t>PMT-2026-0057</t>
  </si>
  <si>
    <t>PMT-2026-0006</t>
  </si>
  <si>
    <t>PAYMENT 0006 FERRUM STEEL WORKS</t>
  </si>
  <si>
    <t>GL-0071</t>
  </si>
  <si>
    <t>PMT-2026-0071</t>
  </si>
  <si>
    <t>Four shapes a break can take</t>
  </si>
  <si>
    <t>PMT-2026-0007</t>
  </si>
  <si>
    <t>PAYMENT 0007 GRANDVIEW LOGISTICS</t>
  </si>
  <si>
    <t>GL-0085</t>
  </si>
  <si>
    <t>PMT-2026-0085</t>
  </si>
  <si>
    <t>1. In the bank, missing from the ledger.  Money moved and nobody recorded it.</t>
  </si>
  <si>
    <t>PMT-2026-0008</t>
  </si>
  <si>
    <t>PAYMENT 0008 HALCYON MARINE</t>
  </si>
  <si>
    <t>GL-0099</t>
  </si>
  <si>
    <t>PMT-2026-0099</t>
  </si>
  <si>
    <t>2. In the ledger, missing from the bank.  We recorded a payment that never went.</t>
  </si>
  <si>
    <t>PMT-2026-0009</t>
  </si>
  <si>
    <t>PAYMENT 0009 INVERNESS TOOLING</t>
  </si>
  <si>
    <t>GL-0113</t>
  </si>
  <si>
    <t>PMT-2026-0113</t>
  </si>
  <si>
    <t>3. Both sides present, amounts differ.    Somebody typed it wrong.</t>
  </si>
  <si>
    <t>PMT-2026-0010</t>
  </si>
  <si>
    <t>PAYMENT 0010 JADEWATER TRADING</t>
  </si>
  <si>
    <t>GL-0002</t>
  </si>
  <si>
    <t>6200 Travel</t>
  </si>
  <si>
    <t>4. Both sides present, dates differ.      Usually a cut-off issue, not an error.</t>
  </si>
  <si>
    <t>PMT-2026-0011</t>
  </si>
  <si>
    <t>PAYMENT 0011 KELSO AGRICULTURAL</t>
  </si>
  <si>
    <t>GL-0016</t>
  </si>
  <si>
    <t>PMT-2026-0016</t>
  </si>
  <si>
    <t>6400 Software</t>
  </si>
  <si>
    <t>PMT-2026-0012</t>
  </si>
  <si>
    <t>PAYMENT 0012 LARKSPUR CONSULTING</t>
  </si>
  <si>
    <t>GL-0030</t>
  </si>
  <si>
    <t>PMT-2026-0030</t>
  </si>
  <si>
    <t>4000 Client Receipts</t>
  </si>
  <si>
    <t>Plus one more we will find by accident: the same invoice posted twice.</t>
  </si>
  <si>
    <t>PMT-2026-0013</t>
  </si>
  <si>
    <t>PAYMENT 0013 MERIDIAN PACKAGING</t>
  </si>
  <si>
    <t>GL-0044</t>
  </si>
  <si>
    <t>PMT-2026-0044</t>
  </si>
  <si>
    <t>The empty grid in columns R to Y is the validation tracker. Every break we</t>
  </si>
  <si>
    <t>PMT-2026-0014</t>
  </si>
  <si>
    <t>PAYMENT 0014 NORVALE TRADING LTD</t>
  </si>
  <si>
    <t>GL-0072</t>
  </si>
  <si>
    <t>PMT-2026-0072</t>
  </si>
  <si>
    <t>find becomes one row there. That grid is the deliverable, not the formulas.</t>
  </si>
  <si>
    <t>PAYMENT 0015 OAKFIELD COMPONENTS</t>
  </si>
  <si>
    <t>GL-0086</t>
  </si>
  <si>
    <t>PMT-2026-0086</t>
  </si>
  <si>
    <t>PAYMENT 0016 PETRA ENERGY PARTNERS</t>
  </si>
  <si>
    <t>GL-0100</t>
  </si>
  <si>
    <t>PMT-2026-0100</t>
  </si>
  <si>
    <t>Working columns you will build</t>
  </si>
  <si>
    <t>PMT-2026-0017</t>
  </si>
  <si>
    <t>PAYMENT 0017 QUINTAL SHIPPING</t>
  </si>
  <si>
    <t>GL-0114</t>
  </si>
  <si>
    <t>PMT-2026-0114</t>
  </si>
  <si>
    <t>E ledger_amount   F ledger_date   G delta   H status      (beside the bank block)</t>
  </si>
  <si>
    <t>PMT-2026-0018</t>
  </si>
  <si>
    <t>PAYMENT 0018 RIVERTON TEXTILES</t>
  </si>
  <si>
    <t>GL-0003</t>
  </si>
  <si>
    <t>O bank_amount     P ref_count                             (beside the ledger block)</t>
  </si>
  <si>
    <t>PMT-2026-0019</t>
  </si>
  <si>
    <t>PAYMENT 0019 SALTMARSH FOODS</t>
  </si>
  <si>
    <t>GL-0031</t>
  </si>
  <si>
    <t>PMT-2026-0031</t>
  </si>
  <si>
    <t>PMT-2026-0020</t>
  </si>
  <si>
    <t>PAYMENT 0020 TORRENT DATA SYSTEMS</t>
  </si>
  <si>
    <t>GL-0045</t>
  </si>
  <si>
    <t>PMT-2026-0045</t>
  </si>
  <si>
    <t>PMT-2026-0021</t>
  </si>
  <si>
    <t>PAYMENT 0021 ALPINE FREIGHT SERVICES</t>
  </si>
  <si>
    <t>GL-0059</t>
  </si>
  <si>
    <t>PMT-2026-0059</t>
  </si>
  <si>
    <t>PMT-2026-0022</t>
  </si>
  <si>
    <t>PAYMENT 0022 BAYTOWN SUPPLY CO</t>
  </si>
  <si>
    <t>GL-0073</t>
  </si>
  <si>
    <t>PMT-2026-0073</t>
  </si>
  <si>
    <t>PMT-2026-0023</t>
  </si>
  <si>
    <t>PAYMENT 0023 CORVUS METALS</t>
  </si>
  <si>
    <t>GL-0087</t>
  </si>
  <si>
    <t>PMT-2026-0087</t>
  </si>
  <si>
    <t>PMT-2026-0024</t>
  </si>
  <si>
    <t>PAYMENT 0024 DELTA RIDGE PARTNERS</t>
  </si>
  <si>
    <t>GL-0101</t>
  </si>
  <si>
    <t>PMT-2026-0101</t>
  </si>
  <si>
    <t>PMT-2026-0025</t>
  </si>
  <si>
    <t>PAYMENT 0025 EASTBROOK MEDIA</t>
  </si>
  <si>
    <t>GL-0115</t>
  </si>
  <si>
    <t>PMT-2026-0115</t>
  </si>
  <si>
    <t>PMT-2026-0026</t>
  </si>
  <si>
    <t>PAYMENT 0026 FERRUM STEEL WORKS</t>
  </si>
  <si>
    <t>GL-0004</t>
  </si>
  <si>
    <t>PMT-2026-0027</t>
  </si>
  <si>
    <t>PAYMENT 0027 GRANDVIEW LOGISTICS</t>
  </si>
  <si>
    <t>GL-0018</t>
  </si>
  <si>
    <t>PMT-2026-0028</t>
  </si>
  <si>
    <t>PAYMENT 0028 HALCYON MARINE</t>
  </si>
  <si>
    <t>GL-0032</t>
  </si>
  <si>
    <t>PMT-2026-0032</t>
  </si>
  <si>
    <t>PAYMENT 0029 INVERNESS TOOLING</t>
  </si>
  <si>
    <t>GL-0046</t>
  </si>
  <si>
    <t>PMT-2026-0046</t>
  </si>
  <si>
    <t>PAYMENT 0030 JADEWATER TRADING</t>
  </si>
  <si>
    <t>GL-0060</t>
  </si>
  <si>
    <t>PMT-2026-0060</t>
  </si>
  <si>
    <t>PAYMENT 0031 KELSO AGRICULTURAL</t>
  </si>
  <si>
    <t>GL-0074</t>
  </si>
  <si>
    <t>PMT-2026-0074</t>
  </si>
  <si>
    <t>PAYMENT 0032 LARKSPUR CONSULTING</t>
  </si>
  <si>
    <t>GL-0088</t>
  </si>
  <si>
    <t>PMT-2026-0088</t>
  </si>
  <si>
    <t>PMT-2026-0033</t>
  </si>
  <si>
    <t>PAYMENT 0033 MERIDIAN PACKAGING</t>
  </si>
  <si>
    <t>GL-0102</t>
  </si>
  <si>
    <t>PMT-2026-0102</t>
  </si>
  <si>
    <t>PMT-2026-0034</t>
  </si>
  <si>
    <t>PAYMENT 0034 NORVALE TRADING LTD</t>
  </si>
  <si>
    <t>GL-0116</t>
  </si>
  <si>
    <t>PMT-2026-0116</t>
  </si>
  <si>
    <t>PMT-2026-0035</t>
  </si>
  <si>
    <t>PAYMENT 0035 OAKFIELD COMPONENTS</t>
  </si>
  <si>
    <t>GL-0121</t>
  </si>
  <si>
    <t>PMT-2026-0121</t>
  </si>
  <si>
    <t>PMT-2026-0036</t>
  </si>
  <si>
    <t>PAYMENT 0036 PETRA ENERGY PARTNERS</t>
  </si>
  <si>
    <t>GL-0005</t>
  </si>
  <si>
    <t>PMT-2026-0037</t>
  </si>
  <si>
    <t>PAYMENT 0037 QUINTAL SHIPPING</t>
  </si>
  <si>
    <t>GL-0019</t>
  </si>
  <si>
    <t>PMT-2026-0038</t>
  </si>
  <si>
    <t>PAYMENT 0038 RIVERTON TEXTILES</t>
  </si>
  <si>
    <t>GL-0033</t>
  </si>
  <si>
    <t>PMT-2026-0039</t>
  </si>
  <si>
    <t>PAYMENT 0039 SALTMARSH FOODS</t>
  </si>
  <si>
    <t>GL-0047</t>
  </si>
  <si>
    <t>PMT-2026-0047</t>
  </si>
  <si>
    <t>PMT-2026-0040</t>
  </si>
  <si>
    <t>PAYMENT 0040 TORRENT DATA SYSTEMS</t>
  </si>
  <si>
    <t>GL-0061</t>
  </si>
  <si>
    <t>PMT-2026-0061</t>
  </si>
  <si>
    <t>PMT-2026-0041</t>
  </si>
  <si>
    <t>PAYMENT 0041 ALPINE FREIGHT SERVICES</t>
  </si>
  <si>
    <t>GL-0075</t>
  </si>
  <si>
    <t>PMT-2026-0075</t>
  </si>
  <si>
    <t>PMT-2026-0042</t>
  </si>
  <si>
    <t>PAYMENT 0042 BAYTOWN SUPPLY CO</t>
  </si>
  <si>
    <t>GL-0089</t>
  </si>
  <si>
    <t>PMT-2026-0089</t>
  </si>
  <si>
    <t>PAYMENT 0043 CORVUS METALS</t>
  </si>
  <si>
    <t>GL-0103</t>
  </si>
  <si>
    <t>PMT-2026-0103</t>
  </si>
  <si>
    <t>PAYMENT 0044 DELTA RIDGE PARTNERS</t>
  </si>
  <si>
    <t>GL-0117</t>
  </si>
  <si>
    <t>PMT-2026-0117</t>
  </si>
  <si>
    <t>PAYMENT 0045 EASTBROOK MEDIA</t>
  </si>
  <si>
    <t>GL-0006</t>
  </si>
  <si>
    <t>PAYMENT 0046 FERRUM STEEL WORKS</t>
  </si>
  <si>
    <t>GL-0020</t>
  </si>
  <si>
    <t>PAYMENT 0047 GRANDVIEW LOGISTICS</t>
  </si>
  <si>
    <t>GL-0034</t>
  </si>
  <si>
    <t>PMT-2026-0048</t>
  </si>
  <si>
    <t>PAYMENT 0048 HALCYON MARINE</t>
  </si>
  <si>
    <t>GL-0048</t>
  </si>
  <si>
    <t>PMT-2026-0049</t>
  </si>
  <si>
    <t>PAYMENT 0049 INVERNESS TOOLING</t>
  </si>
  <si>
    <t>GL-0062</t>
  </si>
  <si>
    <t>PMT-2026-0062</t>
  </si>
  <si>
    <t>PMT-2026-0050</t>
  </si>
  <si>
    <t>PAYMENT 0050 JADEWATER TRADING</t>
  </si>
  <si>
    <t>GL-0076</t>
  </si>
  <si>
    <t>PMT-2026-0076</t>
  </si>
  <si>
    <t>PMT-2026-0051</t>
  </si>
  <si>
    <t>PAYMENT 0051 KELSO AGRICULTURAL</t>
  </si>
  <si>
    <t>GL-0090</t>
  </si>
  <si>
    <t>PMT-2026-0090</t>
  </si>
  <si>
    <t>PMT-2026-0052</t>
  </si>
  <si>
    <t>PAYMENT 0052 LARKSPUR CONSULTING</t>
  </si>
  <si>
    <t>GL-0104</t>
  </si>
  <si>
    <t>PMT-2026-0104</t>
  </si>
  <si>
    <t>PMT-2026-0053</t>
  </si>
  <si>
    <t>PAYMENT 0053 MERIDIAN PACKAGING</t>
  </si>
  <si>
    <t>GL-0118</t>
  </si>
  <si>
    <t>PMT-2026-0118</t>
  </si>
  <si>
    <t>PMT-2026-0054</t>
  </si>
  <si>
    <t>PAYMENT 0054 NORVALE TRADING LTD</t>
  </si>
  <si>
    <t>GL-0122</t>
  </si>
  <si>
    <t>PMT-2026-0122</t>
  </si>
  <si>
    <t>PMT-2026-0055</t>
  </si>
  <si>
    <t>PAYMENT 0055 OAKFIELD COMPONENTS</t>
  </si>
  <si>
    <t>GL-0007</t>
  </si>
  <si>
    <t>PMT-2026-0056</t>
  </si>
  <si>
    <t>PAYMENT 0056 PETRA ENERGY PARTNERS</t>
  </si>
  <si>
    <t>GL-0021</t>
  </si>
  <si>
    <t>PAYMENT 0057 QUINTAL SHIPPING</t>
  </si>
  <si>
    <t>GL-0035</t>
  </si>
  <si>
    <t>PMT-2026-0058</t>
  </si>
  <si>
    <t>PAYMENT 0058 RIVERTON TEXTILES</t>
  </si>
  <si>
    <t>GL-0049</t>
  </si>
  <si>
    <t>PAYMENT 0059 SALTMARSH FOODS</t>
  </si>
  <si>
    <t>GL-0063</t>
  </si>
  <si>
    <t>PMT-2026-0063</t>
  </si>
  <si>
    <t>PAYMENT 0060 TORRENT DATA SYSTEMS</t>
  </si>
  <si>
    <t>GL-0077</t>
  </si>
  <si>
    <t>PMT-2026-0077</t>
  </si>
  <si>
    <t>PAYMENT 0061 ALPINE FREIGHT SERVICES</t>
  </si>
  <si>
    <t>GL-0091</t>
  </si>
  <si>
    <t>PMT-2026-0091</t>
  </si>
  <si>
    <t>PAYMENT 0062 BAYTOWN SUPPLY CO</t>
  </si>
  <si>
    <t>GL-0119</t>
  </si>
  <si>
    <t>PMT-2026-0119</t>
  </si>
  <si>
    <t>PAYMENT 0063 CORVUS METALS</t>
  </si>
  <si>
    <t>GL-0105</t>
  </si>
  <si>
    <t>PMT-2026-0105</t>
  </si>
  <si>
    <t>PMT-2026-0064</t>
  </si>
  <si>
    <t>PAYMENT 0064 DELTA RIDGE PARTNERS</t>
  </si>
  <si>
    <t>GL-0008</t>
  </si>
  <si>
    <t>PMT-2026-0065</t>
  </si>
  <si>
    <t>PAYMENT 0065 EASTBROOK MEDIA</t>
  </si>
  <si>
    <t>GL-0022</t>
  </si>
  <si>
    <t>PMT-2026-0066</t>
  </si>
  <si>
    <t>PAYMENT 0066 FERRUM STEEL WORKS</t>
  </si>
  <si>
    <t>GL-0036</t>
  </si>
  <si>
    <t>PMT-2026-0067</t>
  </si>
  <si>
    <t>PAYMENT 0067 GRANDVIEW LOGISTICS</t>
  </si>
  <si>
    <t>GL-0050</t>
  </si>
  <si>
    <t>PMT-2026-0068</t>
  </si>
  <si>
    <t>PAYMENT 0068 HALCYON MARINE</t>
  </si>
  <si>
    <t>GL-0064</t>
  </si>
  <si>
    <t>PMT-2026-0069</t>
  </si>
  <si>
    <t>PAYMENT 0069 INVERNESS TOOLING</t>
  </si>
  <si>
    <t>GL-0078</t>
  </si>
  <si>
    <t>PMT-2026-0078</t>
  </si>
  <si>
    <t>PMT-2026-0070</t>
  </si>
  <si>
    <t>PAYMENT 0070 JADEWATER TRADING</t>
  </si>
  <si>
    <t>GL-0092</t>
  </si>
  <si>
    <t>PMT-2026-0092</t>
  </si>
  <si>
    <t>PAYMENT 0071 KELSO AGRICULTURAL</t>
  </si>
  <si>
    <t>GL-0106</t>
  </si>
  <si>
    <t>PMT-2026-0106</t>
  </si>
  <si>
    <t>PAYMENT 0072 LARKSPUR CONSULTING</t>
  </si>
  <si>
    <t>GL-0120</t>
  </si>
  <si>
    <t>PMT-2026-0120</t>
  </si>
  <si>
    <t>PAYMENT 0073 MERIDIAN PACKAGING</t>
  </si>
  <si>
    <t>GL-0009</t>
  </si>
  <si>
    <t>PAYMENT 0074 NORVALE TRADING LTD</t>
  </si>
  <si>
    <t>GL-0023</t>
  </si>
  <si>
    <t>PAYMENT 0075 OAKFIELD COMPONENTS</t>
  </si>
  <si>
    <t>GL-0037</t>
  </si>
  <si>
    <t>PAYMENT 0076 PETRA ENERGY PARTNERS</t>
  </si>
  <si>
    <t>GL-0051</t>
  </si>
  <si>
    <t>PAYMENT 0077 QUINTAL SHIPPING</t>
  </si>
  <si>
    <t>GL-0065</t>
  </si>
  <si>
    <t>PAYMENT 0078 RIVERTON TEXTILES</t>
  </si>
  <si>
    <t>GL-0079</t>
  </si>
  <si>
    <t>PMT-2026-0079</t>
  </si>
  <si>
    <t>PAYMENT 0079 SALTMARSH FOODS</t>
  </si>
  <si>
    <t>GL-0093</t>
  </si>
  <si>
    <t>PMT-2026-0093</t>
  </si>
  <si>
    <t>PMT-2026-0080</t>
  </si>
  <si>
    <t>PAYMENT 0080 TORRENT DATA SYSTEMS</t>
  </si>
  <si>
    <t>GL-0107</t>
  </si>
  <si>
    <t>PMT-2026-0107</t>
  </si>
  <si>
    <t>PMT-2026-0081</t>
  </si>
  <si>
    <t>PAYMENT 0081 ALPINE FREIGHT SERVICES</t>
  </si>
  <si>
    <t>GL-0123</t>
  </si>
  <si>
    <t>PMT-2026-0123</t>
  </si>
  <si>
    <t>PMT-2026-0082</t>
  </si>
  <si>
    <t>PAYMENT 0082 BAYTOWN SUPPLY CO</t>
  </si>
  <si>
    <t>GL-0010</t>
  </si>
  <si>
    <t>PMT-2026-0083</t>
  </si>
  <si>
    <t>PAYMENT 0083 CORVUS METALS</t>
  </si>
  <si>
    <t>GL-0024</t>
  </si>
  <si>
    <t>PMT-2026-0084</t>
  </si>
  <si>
    <t>PAYMENT 0084 DELTA RIDGE PARTNERS</t>
  </si>
  <si>
    <t>GL-0038</t>
  </si>
  <si>
    <t>PAYMENT 0085 EASTBROOK MEDIA</t>
  </si>
  <si>
    <t>GL-0052</t>
  </si>
  <si>
    <t>PAYMENT 0086 FERRUM STEEL WORKS</t>
  </si>
  <si>
    <t>GL-0066</t>
  </si>
  <si>
    <t>PAYMENT 0087 GRANDVIEW LOGISTICS</t>
  </si>
  <si>
    <t>GL-0080</t>
  </si>
  <si>
    <t>PAYMENT 0088 HALCYON MARINE</t>
  </si>
  <si>
    <t>GL-0094</t>
  </si>
  <si>
    <t>PMT-2026-0094</t>
  </si>
  <si>
    <t>PAYMENT 0089 INVERNESS TOOLING</t>
  </si>
  <si>
    <t>GL-0108</t>
  </si>
  <si>
    <t>PMT-2026-0108</t>
  </si>
  <si>
    <t>PAYMENT 0090 JADEWATER TRADING</t>
  </si>
  <si>
    <t>GL-0011</t>
  </si>
  <si>
    <t>PAYMENT 0091 KELSO AGRICULTURAL</t>
  </si>
  <si>
    <t>GL-0025</t>
  </si>
  <si>
    <t>PAYMENT 0092 LARKSPUR CONSULTING</t>
  </si>
  <si>
    <t>GL-0039</t>
  </si>
  <si>
    <t>PAYMENT 0093 MERIDIAN PACKAGING</t>
  </si>
  <si>
    <t>GL-0053</t>
  </si>
  <si>
    <t>PAYMENT 0094 NORVALE TRADING LTD</t>
  </si>
  <si>
    <t>GL-0067</t>
  </si>
  <si>
    <t>PMT-2026-0095</t>
  </si>
  <si>
    <t>PAYMENT 0095 OAKFIELD COMPONENTS</t>
  </si>
  <si>
    <t>GL-0081</t>
  </si>
  <si>
    <t>PMT-2026-0096</t>
  </si>
  <si>
    <t>PAYMENT 0096 PETRA ENERGY PARTNERS</t>
  </si>
  <si>
    <t>GL-0095</t>
  </si>
  <si>
    <t>PMT-2026-0097</t>
  </si>
  <si>
    <t>PAYMENT 0097 QUINTAL SHIPPING</t>
  </si>
  <si>
    <t>GL-0109</t>
  </si>
  <si>
    <t>PMT-2026-0109</t>
  </si>
  <si>
    <t>PMT-2026-0098</t>
  </si>
  <si>
    <t>PAYMENT 0098 RIVERTON TEXTILES</t>
  </si>
  <si>
    <t>GL-0012</t>
  </si>
  <si>
    <t>PAYMENT 0099 SALTMARSH FOODS</t>
  </si>
  <si>
    <t>GL-0026</t>
  </si>
  <si>
    <t>PAYMENT 0100 TORRENT DATA SYSTEMS</t>
  </si>
  <si>
    <t>GL-0040</t>
  </si>
  <si>
    <t>PAYMENT 0101 ALPINE FREIGHT SERVICES</t>
  </si>
  <si>
    <t>GL-0054</t>
  </si>
  <si>
    <t>PAYMENT 0102 BAYTOWN SUPPLY CO</t>
  </si>
  <si>
    <t>GL-0068</t>
  </si>
  <si>
    <t>PAYMENT 0103 CORVUS METALS</t>
  </si>
  <si>
    <t>GL-0082</t>
  </si>
  <si>
    <t>PAYMENT 0104 DELTA RIDGE PARTNERS</t>
  </si>
  <si>
    <t>GL-0096</t>
  </si>
  <si>
    <t>PAYMENT 0105 EASTBROOK MEDIA</t>
  </si>
  <si>
    <t>GL-0110</t>
  </si>
  <si>
    <t>PMT-2026-0110</t>
  </si>
  <si>
    <t>PAYMENT 0106 FERRUM STEEL WORKS</t>
  </si>
  <si>
    <t>GL-0013</t>
  </si>
  <si>
    <t>PAYMENT 0107 GRANDVIEW LOGISTICS</t>
  </si>
  <si>
    <t>GL-0210</t>
  </si>
  <si>
    <t>PAYMENT 0108 HALCYON MARINE</t>
  </si>
  <si>
    <t>GL-0027</t>
  </si>
  <si>
    <t>PAYMENT 0109 INVERNESS TOOLING</t>
  </si>
  <si>
    <t>GL-0041</t>
  </si>
  <si>
    <t>PAYMENT 0110 JADEWATER TRADING</t>
  </si>
  <si>
    <t>GL-0055</t>
  </si>
  <si>
    <t>PMT-2026-0111</t>
  </si>
  <si>
    <t>PAYMENT 0111 KELSO AGRICULTURAL</t>
  </si>
  <si>
    <t>GL-0069</t>
  </si>
  <si>
    <t>PMT-2026-0112</t>
  </si>
  <si>
    <t>PAYMENT 0112 LARKSPUR CONSULTING</t>
  </si>
  <si>
    <t>GL-0083</t>
  </si>
  <si>
    <t>PAYMENT 0113 MERIDIAN PACKAGING</t>
  </si>
  <si>
    <t>GL-0111</t>
  </si>
  <si>
    <t>PAYMENT 0114 NORVALE TRADING LTD</t>
  </si>
  <si>
    <t>GL-0014</t>
  </si>
  <si>
    <t>PAYMENT 0115 OAKFIELD COMPONENTS</t>
  </si>
  <si>
    <t>GL-0028</t>
  </si>
  <si>
    <t>PAYMENT 0116 PETRA ENERGY PARTNERS</t>
  </si>
  <si>
    <t>GL-0042</t>
  </si>
  <si>
    <t>PAYMENT 0117 QUINTAL SHIPPING</t>
  </si>
  <si>
    <t>GL-0056</t>
  </si>
  <si>
    <t>PAYMENT 0118 RIVERTON TEXTILES</t>
  </si>
  <si>
    <t>GL-0070</t>
  </si>
  <si>
    <t>PAYMENT 0119 SALTMARSH FOODS</t>
  </si>
  <si>
    <t>GL-0084</t>
  </si>
  <si>
    <t>PAYMENT 0120 TORRENT DATA SYSTEMS</t>
  </si>
  <si>
    <t>GL-0098</t>
  </si>
  <si>
    <t>GL-0112</t>
  </si>
  <si>
    <t>07 Lab - a new month, on your own</t>
  </si>
  <si>
    <t>Same job as this morning, new data, nobody driving. Work on 07_Lab_Data.</t>
  </si>
  <si>
    <t>I am on the call the whole time. Ask. There are no marks and no submission.</t>
  </si>
  <si>
    <t>What you have</t>
  </si>
  <si>
    <t>07_Lab_Data columns A to E   the general ledger for April 2026. It is dirty.</t>
  </si>
  <si>
    <t>07_Lab_Data columns N to Q   the bank statement for April 2026. It is clean, and it is</t>
  </si>
  <si>
    <t xml:space="preserve">                             already an Excel Table called tblLabBank.</t>
  </si>
  <si>
    <t>Task 1  Clean the ledger (about 30 minutes)</t>
  </si>
  <si>
    <t>1a. Give yourself working columns in G to K. That block is left empty for you.</t>
  </si>
  <si>
    <t>1b. Standardise entry_id to upper case with no spaces.</t>
  </si>
  <si>
    <t>1c. Turn entry_date from text into a real date, then format it as Short Date.</t>
  </si>
  <si>
    <t>1d. Turn amount from text into a real number.</t>
  </si>
  <si>
    <t>1e. Standardise txn_ref: upper case, no leading or trailing spaces.</t>
  </si>
  <si>
    <t>1f. Copy your five working columns and Paste Values so they stop being formulas.</t>
  </si>
  <si>
    <t xml:space="preserve">    Order suggested: G entry_id, H date, I reference, J account, K amount.</t>
  </si>
  <si>
    <t>CHECK: your cleaned amount column right-aligns by itself. Text does not.</t>
  </si>
  <si>
    <t>CHECK: =COUNT(K2:K82) returns 81, not 0.</t>
  </si>
  <si>
    <t>Task 2  Remove duplicate postings (about 10 minutes)</t>
  </si>
  <si>
    <t>2a. Select your cleaned block including headers.</t>
  </si>
  <si>
    <t>2b. Data &gt; Data Tools &gt; Remove Duplicates, tick the cleaned txn_ref column only.</t>
  </si>
  <si>
    <t>CHECK: Excel tells you it removed 1 duplicate value and 80 remain.</t>
  </si>
  <si>
    <t>Task 3  Reconcile against the bank (about 28 minutes)</t>
  </si>
  <si>
    <t>3a. In column R, next to the bank block, use XLOOKUP to pull the ledger amount for</t>
  </si>
  <si>
    <t xml:space="preserve">    each bank_ref. Lock your lookup ranges with dollar signs or it will slide.</t>
  </si>
  <si>
    <t>3b. Give XLOOKUP a fourth argument so a miss reads MISSING IN LEDGER instead of #N/A.</t>
  </si>
  <si>
    <t>3c. In S, add a delta column: bank amount minus ledger amount.</t>
  </si>
  <si>
    <t>3d. In T, pull back the ledger DATE for each bank_ref, the same way you pulled the</t>
  </si>
  <si>
    <t xml:space="preserve">    amount. A payment can match on amount and still be posted on the wrong day, and</t>
  </si>
  <si>
    <t xml:space="preserve">    nothing you have built so far can see that.</t>
  </si>
  <si>
    <t>3e. In U, a status in plain words. Ask the most serious question first: is it missing,</t>
  </si>
  <si>
    <t xml:space="preserve">    then do the amounts differ, then do the dates differ.</t>
  </si>
  <si>
    <t>3f. In column L, do the reverse lookup to find entries the bank never paid.</t>
  </si>
  <si>
    <t>CHECK: you should find 3 refs missing in the ledger and 3 missing in the bank.</t>
  </si>
  <si>
    <t>CHECK: exactly 2 refs have a non-zero delta, and exactly 1 has matching amounts on</t>
  </si>
  <si>
    <t xml:space="preserve">       different dates.</t>
  </si>
  <si>
    <t>Task 4  Build the validation tracker (about 19 minutes)</t>
  </si>
  <si>
    <t>4a. On a NEW sheet, build a tracker with these columns:</t>
  </si>
  <si>
    <t xml:space="preserve">    issue_no, reference, found_in, issue_type, bank_amount, ledger_amount, owner, status</t>
  </si>
  <si>
    <t>4b. One row per break. Use the same issue types we used this morning: missing in</t>
  </si>
  <si>
    <t xml:space="preserve">    ledger, missing in bank, amount differs, date differs, duplicate posting.</t>
  </si>
  <si>
    <t>4c. Set the status column to a dropdown: Open, In progress, Resolved.</t>
  </si>
  <si>
    <t>CHECK: your tracker has 10 rows. If it has 9, you skipped the date lookup in 3d, so</t>
  </si>
  <si>
    <t xml:space="preserve">       the timing difference is invisible to you. If it has 8, you also missed the</t>
  </si>
  <si>
    <t xml:space="preserve">       duplicate posting, which matches perfectly and can only be found by counting.</t>
  </si>
  <si>
    <t>Task 5  One summary pivot (about 12 minutes)</t>
  </si>
  <si>
    <t>5a. Turn your cleaned ledger into an Excel Table.</t>
  </si>
  <si>
    <t>5b. PivotTable on a new sheet: account down the side, cleaned amount as Sum of.</t>
  </si>
  <si>
    <t>5c. Add your CLEANED date column to Columns and group it by week. Grouping by week is</t>
  </si>
  <si>
    <t xml:space="preserve">    Group &gt; Days, then set Number of days to 7. We only did months together.</t>
  </si>
  <si>
    <t>CHECK: the grand total equals the sum of your cleaned amount column.</t>
  </si>
  <si>
    <t>Task 6  The compliance question, on your own (about 10 minutes)</t>
  </si>
  <si>
    <t>6a. Go to 05_Pivots. Build a PivotTable on tblTxn on a new sheet.</t>
  </si>
  <si>
    <t>6b. Filter it to cash. Counterparty down the side. Put amount into Values three</t>
  </si>
  <si>
    <t xml:space="preserve">    times: Sum, Count, and Max.</t>
  </si>
  <si>
    <t>6c. Read the Max column, not the Sum column.</t>
  </si>
  <si>
    <t>6d. In a cell, write the one sentence you would send to compliance. Name the</t>
  </si>
  <si>
    <t xml:space="preserve">    counterparty, the number of payments, the total, and what you are NOT claiming.</t>
  </si>
  <si>
    <t>CHECK: nine counterparties. Exactly one of them has more than two cash payments and</t>
  </si>
  <si>
    <t xml:space="preserve">       not a single one over 10,000. That is the whole finding.</t>
  </si>
  <si>
    <t>If you finish early</t>
  </si>
  <si>
    <t>Add conditional formatting so any non-zero delta turns red. You need two rules, one</t>
  </si>
  <si>
    <t>for each direction, and both must ignore the blanks.</t>
  </si>
  <si>
    <t>Add a second pivot counting breaks by issue_type.</t>
  </si>
  <si>
    <t>Write, in a cell, the one sentence you would send the client about what you found.</t>
  </si>
  <si>
    <t>Self-check before you call it done</t>
  </si>
  <si>
    <t>Recalculate: no error cells you did not intend.</t>
  </si>
  <si>
    <t>Every lookup range is locked with dollar signs, or points at a Table by name.</t>
  </si>
  <si>
    <t>Your reconciliation runs in BOTH directions, not just bank to ledger.</t>
  </si>
  <si>
    <t>Somebody who was not here can open your tracker and know what to do next.</t>
  </si>
  <si>
    <t>Debrief at 16:15. I will build the answer live and you can compare.</t>
  </si>
  <si>
    <t>07 Lab data</t>
  </si>
  <si>
    <t>glq-0001</t>
  </si>
  <si>
    <t>04/01/2026</t>
  </si>
  <si>
    <t xml:space="preserve"> PMT-2026-Q2-0001 </t>
  </si>
  <si>
    <t>6100 PROFESSIONAL FEES</t>
  </si>
  <si>
    <t>$25,971.00</t>
  </si>
  <si>
    <t>PMT-2026-Q2-0001</t>
  </si>
  <si>
    <t>Block A-E: the April ledger, dirty, 81 rows. Text, all of it. Not a Table.</t>
  </si>
  <si>
    <t>GLQ-0015</t>
  </si>
  <si>
    <t>01-Apr-2026</t>
  </si>
  <si>
    <t>PMT-2026-Q2-0015</t>
  </si>
  <si>
    <t>17,427.17</t>
  </si>
  <si>
    <t>PMT-2026-Q2-0002</t>
  </si>
  <si>
    <t>Block N-Q: the April bank statement, clean, 80 rows, already an Excel Table</t>
  </si>
  <si>
    <t>GLQ-0029</t>
  </si>
  <si>
    <t>2026-04-01</t>
  </si>
  <si>
    <t>PMT-2026-Q2-0029</t>
  </si>
  <si>
    <t xml:space="preserve"> 47549.64</t>
  </si>
  <si>
    <t>PMT-2026-Q2-0003</t>
  </si>
  <si>
    <t>called tblLabBank.</t>
  </si>
  <si>
    <t>glq-0043</t>
  </si>
  <si>
    <t>PMT-2026-Q2-0043</t>
  </si>
  <si>
    <t>20630.69</t>
  </si>
  <si>
    <t>PMT-2026-Q2-0004</t>
  </si>
  <si>
    <t>GLQ-0057</t>
  </si>
  <si>
    <t xml:space="preserve"> PMT-2026-Q2-0057 </t>
  </si>
  <si>
    <t>$5,670.10</t>
  </si>
  <si>
    <t>PMT-2026-Q2-0005</t>
  </si>
  <si>
    <t>Where your work goes</t>
  </si>
  <si>
    <t>GLQ-0071</t>
  </si>
  <si>
    <t>PMT-2026-Q2-0071</t>
  </si>
  <si>
    <t>7000 BANK CHARGES</t>
  </si>
  <si>
    <t>38,944.07</t>
  </si>
  <si>
    <t>PMT-2026-Q2-0006</t>
  </si>
  <si>
    <t>G to K   your five cleaned ledger columns</t>
  </si>
  <si>
    <t>glq-0002</t>
  </si>
  <si>
    <t>04/03/2026</t>
  </si>
  <si>
    <t xml:space="preserve"> 44389.84</t>
  </si>
  <si>
    <t>PMT-2026-Q2-0007</t>
  </si>
  <si>
    <t>L        your reverse lookup, ledger against bank</t>
  </si>
  <si>
    <t>GLQ-0016</t>
  </si>
  <si>
    <t>03-Apr-2026</t>
  </si>
  <si>
    <t>PMT-2026-Q2-0016</t>
  </si>
  <si>
    <t>42150.37</t>
  </si>
  <si>
    <t>PMT-2026-Q2-0008</t>
  </si>
  <si>
    <t>R to T   your bank-side lookup, delta and status (typing here extends tblLabBank)</t>
  </si>
  <si>
    <t>GLQ-0030</t>
  </si>
  <si>
    <t>2026-04-03</t>
  </si>
  <si>
    <t xml:space="preserve"> PMT-2026-Q2-0030 </t>
  </si>
  <si>
    <t>$40,145.03</t>
  </si>
  <si>
    <t>PMT-2026-Q2-0009</t>
  </si>
  <si>
    <t>glq-0044</t>
  </si>
  <si>
    <t>PMT-2026-Q2-0044</t>
  </si>
  <si>
    <t>28,359.58</t>
  </si>
  <si>
    <t>PMT-2026-Q2-0010</t>
  </si>
  <si>
    <t>Build the tracker and the pivot on new sheets. Instructions are on 07_Lab_Tasks.</t>
  </si>
  <si>
    <t>GLQ-0058</t>
  </si>
  <si>
    <t>PMT-2026-Q2-0058</t>
  </si>
  <si>
    <t>6400 SOFTWARE</t>
  </si>
  <si>
    <t xml:space="preserve"> 27649.69</t>
  </si>
  <si>
    <t>PMT-2026-Q2-0011</t>
  </si>
  <si>
    <t>GLQ-0072</t>
  </si>
  <si>
    <t>PMT-2026-Q2-0072</t>
  </si>
  <si>
    <t>412.64</t>
  </si>
  <si>
    <t>PMT-2026-Q2-0012</t>
  </si>
  <si>
    <t>glq-0003</t>
  </si>
  <si>
    <t>04/05/2026</t>
  </si>
  <si>
    <t xml:space="preserve"> PMT-2026-Q2-0003 </t>
  </si>
  <si>
    <t>$43,605.76</t>
  </si>
  <si>
    <t>PMT-2026-Q2-0013</t>
  </si>
  <si>
    <t>GLQ-0017</t>
  </si>
  <si>
    <t>05-Apr-2026</t>
  </si>
  <si>
    <t>PMT-2026-Q2-0017</t>
  </si>
  <si>
    <t>47,115.24</t>
  </si>
  <si>
    <t>PMT-2026-Q2-0014</t>
  </si>
  <si>
    <t>GLQ-0031</t>
  </si>
  <si>
    <t>2026-04-05</t>
  </si>
  <si>
    <t>PMT-2026-Q2-0031</t>
  </si>
  <si>
    <t xml:space="preserve"> 19173.31</t>
  </si>
  <si>
    <t>glq-0045</t>
  </si>
  <si>
    <t>PMT-2026-Q2-0045</t>
  </si>
  <si>
    <t>5000 SUBCONTRACTORS</t>
  </si>
  <si>
    <t>15401.57</t>
  </si>
  <si>
    <t>GLQ-0059</t>
  </si>
  <si>
    <t xml:space="preserve"> PMT-2026-Q2-0059 </t>
  </si>
  <si>
    <t>$936.70</t>
  </si>
  <si>
    <t>GLQ-0073</t>
  </si>
  <si>
    <t>PMT-2026-Q2-0073</t>
  </si>
  <si>
    <t>7,923.93</t>
  </si>
  <si>
    <t>PMT-2026-Q2-0018</t>
  </si>
  <si>
    <t>glq-0004</t>
  </si>
  <si>
    <t>04/07/2026</t>
  </si>
  <si>
    <t xml:space="preserve"> 4739.82</t>
  </si>
  <si>
    <t>PMT-2026-Q2-0019</t>
  </si>
  <si>
    <t>GLQ-0018</t>
  </si>
  <si>
    <t>07-Apr-2026</t>
  </si>
  <si>
    <t>37345.37</t>
  </si>
  <si>
    <t>PMT-2026-Q2-0020</t>
  </si>
  <si>
    <t>GLQ-0032</t>
  </si>
  <si>
    <t>2026-04-07</t>
  </si>
  <si>
    <t xml:space="preserve"> PMT-2026-Q2-0032 </t>
  </si>
  <si>
    <t>6200 TRAVEL</t>
  </si>
  <si>
    <t>$47,669.26</t>
  </si>
  <si>
    <t>PMT-2026-Q2-0021</t>
  </si>
  <si>
    <t>glq-0046</t>
  </si>
  <si>
    <t>PMT-2026-Q2-0046</t>
  </si>
  <si>
    <t>7,383.74</t>
  </si>
  <si>
    <t>PMT-2026-Q2-0022</t>
  </si>
  <si>
    <t>GLQ-0060</t>
  </si>
  <si>
    <t>PMT-2026-Q2-0060</t>
  </si>
  <si>
    <t xml:space="preserve"> 43330.46</t>
  </si>
  <si>
    <t>PMT-2026-Q2-0023</t>
  </si>
  <si>
    <t>GLQ-0074</t>
  </si>
  <si>
    <t>PMT-2026-Q2-0074</t>
  </si>
  <si>
    <t>15770.18</t>
  </si>
  <si>
    <t>PMT-2026-Q2-0024</t>
  </si>
  <si>
    <t>glq-0081</t>
  </si>
  <si>
    <t xml:space="preserve"> PMT-2026-Q2-0081 </t>
  </si>
  <si>
    <t>$9,929.18</t>
  </si>
  <si>
    <t>PMT-2026-Q2-0025</t>
  </si>
  <si>
    <t>GLQ-0005</t>
  </si>
  <si>
    <t>09-Apr-2026</t>
  </si>
  <si>
    <t>32,630.08</t>
  </si>
  <si>
    <t>PMT-2026-Q2-0026</t>
  </si>
  <si>
    <t>GLQ-0019</t>
  </si>
  <si>
    <t>2026-04-09</t>
  </si>
  <si>
    <t xml:space="preserve"> 3329.95</t>
  </si>
  <si>
    <t>PMT-2026-Q2-0027</t>
  </si>
  <si>
    <t>glq-0033</t>
  </si>
  <si>
    <t>04/09/2026</t>
  </si>
  <si>
    <t>PMT-2026-Q2-0033</t>
  </si>
  <si>
    <t>38291.00</t>
  </si>
  <si>
    <t>PMT-2026-Q2-0028</t>
  </si>
  <si>
    <t>GLQ-0047</t>
  </si>
  <si>
    <t xml:space="preserve"> PMT-2026-Q2-0047 </t>
  </si>
  <si>
    <t>$28,390.62</t>
  </si>
  <si>
    <t>GLQ-0061</t>
  </si>
  <si>
    <t>PMT-2026-Q2-0061</t>
  </si>
  <si>
    <t>16,327.29</t>
  </si>
  <si>
    <t>PMT-2026-Q2-0030</t>
  </si>
  <si>
    <t>glq-0075</t>
  </si>
  <si>
    <t>PMT-2026-Q2-0075</t>
  </si>
  <si>
    <t xml:space="preserve"> 10465.51</t>
  </si>
  <si>
    <t>GLQ-0006</t>
  </si>
  <si>
    <t>11-Apr-2026</t>
  </si>
  <si>
    <t>2286.93</t>
  </si>
  <si>
    <t>PMT-2026-Q2-0032</t>
  </si>
  <si>
    <t>GLQ-0020</t>
  </si>
  <si>
    <t>2026-04-11</t>
  </si>
  <si>
    <t xml:space="preserve"> PMT-2026-Q2-0020 </t>
  </si>
  <si>
    <t>$43,505.61</t>
  </si>
  <si>
    <t>glq-0034</t>
  </si>
  <si>
    <t>04/11/2026</t>
  </si>
  <si>
    <t>PMT-2026-Q2-0034</t>
  </si>
  <si>
    <t>40,458.65</t>
  </si>
  <si>
    <t>GLQ-0048</t>
  </si>
  <si>
    <t>PMT-2026-Q2-0048</t>
  </si>
  <si>
    <t xml:space="preserve"> 39633.48</t>
  </si>
  <si>
    <t>PMT-2026-Q2-0035</t>
  </si>
  <si>
    <t>GLQ-0062</t>
  </si>
  <si>
    <t>PMT-2026-Q2-0062</t>
  </si>
  <si>
    <t>17838.47</t>
  </si>
  <si>
    <t>PMT-2026-Q2-0036</t>
  </si>
  <si>
    <t>glq-0076</t>
  </si>
  <si>
    <t xml:space="preserve"> PMT-2026-Q2-0076 </t>
  </si>
  <si>
    <t>$43,034.48</t>
  </si>
  <si>
    <t>PMT-2026-Q2-0037</t>
  </si>
  <si>
    <t>GLQ-0082</t>
  </si>
  <si>
    <t>12-Apr-2026</t>
  </si>
  <si>
    <t>PMT-2026-Q2-0082</t>
  </si>
  <si>
    <t>11,949.55</t>
  </si>
  <si>
    <t>PMT-2026-Q2-0038</t>
  </si>
  <si>
    <t>GLQ-0007</t>
  </si>
  <si>
    <t>2026-04-13</t>
  </si>
  <si>
    <t xml:space="preserve"> 20432.33</t>
  </si>
  <si>
    <t>PMT-2026-Q2-0039</t>
  </si>
  <si>
    <t>glq-0021</t>
  </si>
  <si>
    <t>04/13/2026</t>
  </si>
  <si>
    <t>22141.44</t>
  </si>
  <si>
    <t>PMT-2026-Q2-0040</t>
  </si>
  <si>
    <t>GLQ-0035</t>
  </si>
  <si>
    <t>13-Apr-2026</t>
  </si>
  <si>
    <t xml:space="preserve"> PMT-2026-Q2-0035 </t>
  </si>
  <si>
    <t>$31,101.61</t>
  </si>
  <si>
    <t>PMT-2026-Q2-0041</t>
  </si>
  <si>
    <t>GLQ-0049</t>
  </si>
  <si>
    <t>PMT-2026-Q2-0049</t>
  </si>
  <si>
    <t>13,513.82</t>
  </si>
  <si>
    <t>PMT-2026-Q2-0042</t>
  </si>
  <si>
    <t>glq-0063</t>
  </si>
  <si>
    <t>PMT-2026-Q2-0063</t>
  </si>
  <si>
    <t xml:space="preserve"> 26554.67</t>
  </si>
  <si>
    <t>GLQ-0077</t>
  </si>
  <si>
    <t>PMT-2026-Q2-0077</t>
  </si>
  <si>
    <t>7327.32</t>
  </si>
  <si>
    <t>GLQ-0008</t>
  </si>
  <si>
    <t>2026-04-15</t>
  </si>
  <si>
    <t xml:space="preserve"> PMT-2026-Q2-0008 </t>
  </si>
  <si>
    <t>$21,344.75</t>
  </si>
  <si>
    <t>glq-0022</t>
  </si>
  <si>
    <t>04/15/2026</t>
  </si>
  <si>
    <t>40,526.18</t>
  </si>
  <si>
    <t>GLQ-0036</t>
  </si>
  <si>
    <t>15-Apr-2026</t>
  </si>
  <si>
    <t xml:space="preserve"> 19081.71</t>
  </si>
  <si>
    <t>PMT-2026-Q2-0047</t>
  </si>
  <si>
    <t>GLQ-0050</t>
  </si>
  <si>
    <t>PMT-2026-Q2-0050</t>
  </si>
  <si>
    <t>41554.77</t>
  </si>
  <si>
    <t>glq-0064</t>
  </si>
  <si>
    <t xml:space="preserve"> PMT-2026-Q2-0064 </t>
  </si>
  <si>
    <t>$30,688.91</t>
  </si>
  <si>
    <t>GLQ-0078</t>
  </si>
  <si>
    <t>PMT-2026-Q2-0078</t>
  </si>
  <si>
    <t>5,401.59</t>
  </si>
  <si>
    <t>GLQ-0009</t>
  </si>
  <si>
    <t>2026-04-17</t>
  </si>
  <si>
    <t xml:space="preserve"> 45940.67</t>
  </si>
  <si>
    <t>PMT-2026-Q2-0051</t>
  </si>
  <si>
    <t>glq-0170</t>
  </si>
  <si>
    <t>04/17/2026</t>
  </si>
  <si>
    <t>45940.67</t>
  </si>
  <si>
    <t>PMT-2026-Q2-0052</t>
  </si>
  <si>
    <t>GLQ-0023</t>
  </si>
  <si>
    <t>17-Apr-2026</t>
  </si>
  <si>
    <t xml:space="preserve"> PMT-2026-Q2-0023 </t>
  </si>
  <si>
    <t>$8,691.24</t>
  </si>
  <si>
    <t>PMT-2026-Q2-0053</t>
  </si>
  <si>
    <t>GLQ-0037</t>
  </si>
  <si>
    <t>43,497.64</t>
  </si>
  <si>
    <t>PMT-2026-Q2-0054</t>
  </si>
  <si>
    <t>glq-0051</t>
  </si>
  <si>
    <t xml:space="preserve"> 37835.41</t>
  </si>
  <si>
    <t>PMT-2026-Q2-0055</t>
  </si>
  <si>
    <t>GLQ-0079</t>
  </si>
  <si>
    <t>PMT-2026-Q2-0079</t>
  </si>
  <si>
    <t>15396.35</t>
  </si>
  <si>
    <t>PMT-2026-Q2-0056</t>
  </si>
  <si>
    <t>GLQ-0083</t>
  </si>
  <si>
    <t xml:space="preserve"> PMT-2026-Q2-0083 </t>
  </si>
  <si>
    <t>$10,281.69</t>
  </si>
  <si>
    <t>PMT-2026-Q2-0057</t>
  </si>
  <si>
    <t>glq-0010</t>
  </si>
  <si>
    <t>04/19/2026</t>
  </si>
  <si>
    <t>28,676.41</t>
  </si>
  <si>
    <t>GLQ-0024</t>
  </si>
  <si>
    <t>19-Apr-2026</t>
  </si>
  <si>
    <t xml:space="preserve"> 7301.94</t>
  </si>
  <si>
    <t>PMT-2026-Q2-0059</t>
  </si>
  <si>
    <t>GLQ-0038</t>
  </si>
  <si>
    <t>2026-04-19</t>
  </si>
  <si>
    <t>22722.55</t>
  </si>
  <si>
    <t>glq-0052</t>
  </si>
  <si>
    <t xml:space="preserve"> PMT-2026-Q2-0052 </t>
  </si>
  <si>
    <t>$37,288.52</t>
  </si>
  <si>
    <t>GLQ-0066</t>
  </si>
  <si>
    <t>PMT-2026-Q2-0066</t>
  </si>
  <si>
    <t>23,405.18</t>
  </si>
  <si>
    <t>GLQ-0080</t>
  </si>
  <si>
    <t>PMT-2026-Q2-0080</t>
  </si>
  <si>
    <t xml:space="preserve"> 24537.60</t>
  </si>
  <si>
    <t>glq-0011</t>
  </si>
  <si>
    <t>04/21/2026</t>
  </si>
  <si>
    <t>9322.53</t>
  </si>
  <si>
    <t>PMT-2026-Q2-0064</t>
  </si>
  <si>
    <t>GLQ-0025</t>
  </si>
  <si>
    <t>21-Apr-2026</t>
  </si>
  <si>
    <t xml:space="preserve"> PMT-2026-Q2-0025 </t>
  </si>
  <si>
    <t>$43,543.12</t>
  </si>
  <si>
    <t>PMT-2026-Q2-0065</t>
  </si>
  <si>
    <t>GLQ-0053</t>
  </si>
  <si>
    <t>2026-04-21</t>
  </si>
  <si>
    <t>20,072.47</t>
  </si>
  <si>
    <t>glq-0067</t>
  </si>
  <si>
    <t>PMT-2026-Q2-0067</t>
  </si>
  <si>
    <t xml:space="preserve"> 30540.46</t>
  </si>
  <si>
    <t>GLQ-0026</t>
  </si>
  <si>
    <t>23-Apr-2026</t>
  </si>
  <si>
    <t>13883.74</t>
  </si>
  <si>
    <t>PMT-2026-Q2-0068</t>
  </si>
  <si>
    <t>GLQ-0040</t>
  </si>
  <si>
    <t>2026-04-23</t>
  </si>
  <si>
    <t xml:space="preserve"> PMT-2026-Q2-0040 </t>
  </si>
  <si>
    <t>$26,617.12</t>
  </si>
  <si>
    <t>PMT-2026-Q2-0069</t>
  </si>
  <si>
    <t>glq-0054</t>
  </si>
  <si>
    <t>04/23/2026</t>
  </si>
  <si>
    <t>47,940.62</t>
  </si>
  <si>
    <t>PMT-2026-Q2-0070</t>
  </si>
  <si>
    <t>GLQ-0068</t>
  </si>
  <si>
    <t xml:space="preserve"> 40701.04</t>
  </si>
  <si>
    <t>GLQ-0013</t>
  </si>
  <si>
    <t>2026-04-25</t>
  </si>
  <si>
    <t>25167.33</t>
  </si>
  <si>
    <t>glq-0027</t>
  </si>
  <si>
    <t>04/25/2026</t>
  </si>
  <si>
    <t xml:space="preserve"> PMT-2026-Q2-0027 </t>
  </si>
  <si>
    <t>$2,305.90</t>
  </si>
  <si>
    <t>GLQ-0041</t>
  </si>
  <si>
    <t>25-Apr-2026</t>
  </si>
  <si>
    <t>43,695.69</t>
  </si>
  <si>
    <t>GLQ-0055</t>
  </si>
  <si>
    <t xml:space="preserve"> 38014.44</t>
  </si>
  <si>
    <t>glq-0069</t>
  </si>
  <si>
    <t>21556.50</t>
  </si>
  <si>
    <t>PMT-2026-Q2-0076</t>
  </si>
  <si>
    <t>GLQ-0014</t>
  </si>
  <si>
    <t>27-Apr-2026</t>
  </si>
  <si>
    <t xml:space="preserve"> PMT-2026-Q2-0014 </t>
  </si>
  <si>
    <t>$9,660.31</t>
  </si>
  <si>
    <t>GLQ-0028</t>
  </si>
  <si>
    <t>2026-04-27</t>
  </si>
  <si>
    <t>24,175.05</t>
  </si>
  <si>
    <t>glq-0042</t>
  </si>
  <si>
    <t>04/27/2026</t>
  </si>
  <si>
    <t xml:space="preserve"> 23034.22</t>
  </si>
  <si>
    <t>GLQ-0056</t>
  </si>
  <si>
    <t>27737.23</t>
  </si>
  <si>
    <t>GLQ-0070</t>
  </si>
  <si>
    <t>2026-04-28</t>
  </si>
  <si>
    <t xml:space="preserve"> PMT-2026-Q2-0070 </t>
  </si>
  <si>
    <t>$24,128.79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</si>
</sst>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mm/dd/yyyy"/>
    <numFmt numFmtId="166" formatCode="0.0%"/>
  </numFmts>
  <fonts count="5" x14ac:knownFonts="1">
    <font>
      <sz val="11"/>
      <color theme="1"/>
      <name val="Calibri"/>
      <family val="2"/>
      <scheme val="minor"/>
    </font>
    <font>
      <b/>
      <sz val="14"/>
      <color rgb="FF1F3864"/>
      <name val="Calibri"/>
    </font>
    <font>
      <b/>
      <sz val="11"/>
      <color rgb="FF1F3864"/>
      <name val="Calibri"/>
    </font>
    <font>
      <i/>
      <sz val="11"/>
      <color rgb="FF808080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2" fillId="0" borderId="0" xfId="0" applyFont="1"/>
    <xf numFmtId="165" fontId="0" fillId="0" borderId="0" xfId="0" applyNumberFormat="1"/>
    <xf numFmtId="3" fontId="0" fillId="0" borderId="0" xfId="0" applyNumberFormat="1"/>
    <xf numFmtId="166" fontId="0" fillId="0" borderId="0" xfId="0" applyNumberFormat="1"/>
    <xf numFmtId="0" fontId="0" fillId="2" borderId="1" xfId="0" applyFill="1" applyBorder="1"/>
    <xf numFmtId="166" fontId="0" fillId="2" borderId="1" xfId="0" applyNumberFormat="1" applyFill="1" applyBorder="1"/>
    <xf numFmtId="3" fontId="0" fillId="0" borderId="1" xfId="0" applyNumberFormat="1" applyBorder="1"/>
    <xf numFmtId="1" fontId="0" fillId="0" borderId="1" xfId="0" applyNumberFormat="1" applyBorder="1"/>
    <xf numFmtId="166" fontId="0" fillId="0" borderId="1" xfId="0" applyNumberFormat="1" applyBorder="1"/>
    <xf numFmtId="0" fontId="1" fillId="2" borderId="0" xfId="0" applyFont="1" applyFill="1" applyAlignment="1">
      <alignment vertical="top"/>
    </xf>
    <xf numFmtId="0" fontId="3" fillId="2" borderId="0" xfId="0" applyFont="1" applyFill="1" applyAlignment="1">
      <alignment vertical="top"/>
    </xf>
    <xf numFmtId="0" fontId="4" fillId="3" borderId="0" xfId="0" applyFont="1" applyFill="1" applyAlignment="1">
      <alignment horizontal="center" vertical="center" wrapText="1"/>
    </xf>
    <xf numFmtId="49" fontId="0" fillId="0" borderId="0" xfId="0" applyNumberFormat="1"/>
    <xf numFmtId="4" fontId="0" fillId="0" borderId="0" xfId="0" applyNumberFormat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Eng02" displayName="tblEng02" ref="A1:M41">
  <autoFilter ref="A1:M41" xr:uid="{00000000-0009-0000-0100-000001000000}"/>
  <tableColumns count="13">
    <tableColumn id="1" xr3:uid="{00000000-0010-0000-0000-000001000000}" name="engagement_id"/>
    <tableColumn id="2" xr3:uid="{00000000-0010-0000-0000-000002000000}" name="client_id"/>
    <tableColumn id="3" xr3:uid="{00000000-0010-0000-0000-000003000000}" name="engagement_name"/>
    <tableColumn id="4" xr3:uid="{00000000-0010-0000-0000-000004000000}" name="service_line"/>
    <tableColumn id="5" xr3:uid="{00000000-0010-0000-0000-000005000000}" name="manager"/>
    <tableColumn id="6" xr3:uid="{00000000-0010-0000-0000-000006000000}" name="start_date"/>
    <tableColumn id="7" xr3:uid="{00000000-0010-0000-0000-000007000000}" name="end_date"/>
    <tableColumn id="8" xr3:uid="{00000000-0010-0000-0000-000008000000}" name="budget"/>
    <tableColumn id="9" xr3:uid="{00000000-0010-0000-0000-000009000000}" name="actual_cost"/>
    <tableColumn id="10" xr3:uid="{00000000-0010-0000-0000-00000A000000}" name="status"/>
    <tableColumn id="11" xr3:uid="{00000000-0010-0000-0000-00000B000000}" name="variance"/>
    <tableColumn id="12" xr3:uid="{00000000-0010-0000-0000-00000C000000}" name="margin_pct"/>
    <tableColumn id="13" xr3:uid="{00000000-0010-0000-0000-00000D000000}" name="budget_with_uplif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Eng03" displayName="tblEng03" ref="A1:M41">
  <autoFilter ref="A1:M41" xr:uid="{00000000-0009-0000-0100-000002000000}"/>
  <tableColumns count="13">
    <tableColumn id="1" xr3:uid="{00000000-0010-0000-0100-000001000000}" name="engagement_id"/>
    <tableColumn id="2" xr3:uid="{00000000-0010-0000-0100-000002000000}" name="client_id"/>
    <tableColumn id="3" xr3:uid="{00000000-0010-0000-0100-000003000000}" name="engagement_name"/>
    <tableColumn id="4" xr3:uid="{00000000-0010-0000-0100-000004000000}" name="service_line"/>
    <tableColumn id="5" xr3:uid="{00000000-0010-0000-0100-000005000000}" name="manager"/>
    <tableColumn id="6" xr3:uid="{00000000-0010-0000-0100-000006000000}" name="start_date"/>
    <tableColumn id="7" xr3:uid="{00000000-0010-0000-0100-000007000000}" name="end_date"/>
    <tableColumn id="8" xr3:uid="{00000000-0010-0000-0100-000008000000}" name="budget"/>
    <tableColumn id="9" xr3:uid="{00000000-0010-0000-0100-000009000000}" name="actual_cost"/>
    <tableColumn id="10" xr3:uid="{00000000-0010-0000-0100-00000A000000}" name="status"/>
    <tableColumn id="11" xr3:uid="{00000000-0010-0000-0100-00000B000000}" name="variance"/>
    <tableColumn id="12" xr3:uid="{00000000-0010-0000-0100-00000C000000}" name="margin_pct"/>
    <tableColumn id="13" xr3:uid="{00000000-0010-0000-0100-00000D000000}" name="budget_with_uplif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Clients" displayName="tblClients" ref="X1:AC26">
  <autoFilter ref="X1:AC26" xr:uid="{00000000-0009-0000-0100-000003000000}"/>
  <tableColumns count="6">
    <tableColumn id="24" xr3:uid="{00000000-0010-0000-0200-000018000000}" name="client_id"/>
    <tableColumn id="25" xr3:uid="{00000000-0010-0000-0200-000019000000}" name="client_name"/>
    <tableColumn id="26" xr3:uid="{00000000-0010-0000-0200-00001A000000}" name="industry"/>
    <tableColumn id="27" xr3:uid="{00000000-0010-0000-0200-00001B000000}" name="country"/>
    <tableColumn id="28" xr3:uid="{00000000-0010-0000-0200-00001C000000}" name="risk_rating"/>
    <tableColumn id="29" xr3:uid="{00000000-0010-0000-0200-00001D000000}" name="relationship_manager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Txn" displayName="tblTxn" ref="A1:M301">
  <autoFilter ref="A1:M301" xr:uid="{00000000-0009-0000-0100-000004000000}"/>
  <tableColumns count="13">
    <tableColumn id="1" xr3:uid="{00000000-0010-0000-0300-000001000000}" name="txn_id"/>
    <tableColumn id="2" xr3:uid="{00000000-0010-0000-0300-000002000000}" name="txn_date"/>
    <tableColumn id="3" xr3:uid="{00000000-0010-0000-0300-000003000000}" name="client_id"/>
    <tableColumn id="4" xr3:uid="{00000000-0010-0000-0300-000004000000}" name="txn_type"/>
    <tableColumn id="5" xr3:uid="{00000000-0010-0000-0300-000005000000}" name="direction"/>
    <tableColumn id="6" xr3:uid="{00000000-0010-0000-0300-000006000000}" name="amount"/>
    <tableColumn id="7" xr3:uid="{00000000-0010-0000-0300-000007000000}" name="currency"/>
    <tableColumn id="8" xr3:uid="{00000000-0010-0000-0300-000008000000}" name="channel"/>
    <tableColumn id="9" xr3:uid="{00000000-0010-0000-0300-000009000000}" name="status"/>
    <tableColumn id="10" xr3:uid="{00000000-0010-0000-0300-00000A000000}" name="counterparty"/>
    <tableColumn id="11" xr3:uid="{00000000-0010-0000-0300-00000B000000}" name="country"/>
    <tableColumn id="12" xr3:uid="{00000000-0010-0000-0300-00000C000000}" name="client_name"/>
    <tableColumn id="13" xr3:uid="{00000000-0010-0000-0300-00000D000000}" name="risk_rating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Bank" displayName="tblBank" ref="A1:D121">
  <autoFilter ref="A1:D121" xr:uid="{00000000-0009-0000-0100-000005000000}"/>
  <tableColumns count="4">
    <tableColumn id="1" xr3:uid="{00000000-0010-0000-0400-000001000000}" name="bank_ref"/>
    <tableColumn id="2" xr3:uid="{00000000-0010-0000-0400-000002000000}" name="post_date"/>
    <tableColumn id="3" xr3:uid="{00000000-0010-0000-0400-000003000000}" name="description"/>
    <tableColumn id="4" xr3:uid="{00000000-0010-0000-0400-000004000000}" name="amou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Ledger" displayName="tblLedger" ref="J1:N122">
  <autoFilter ref="J1:N122" xr:uid="{00000000-0009-0000-0100-000006000000}"/>
  <tableColumns count="5">
    <tableColumn id="10" xr3:uid="{00000000-0010-0000-0500-00000A000000}" name="entry_id"/>
    <tableColumn id="11" xr3:uid="{00000000-0010-0000-0500-00000B000000}" name="entry_date"/>
    <tableColumn id="12" xr3:uid="{00000000-0010-0000-0500-00000C000000}" name="txn_ref"/>
    <tableColumn id="13" xr3:uid="{00000000-0010-0000-0500-00000D000000}" name="account"/>
    <tableColumn id="14" xr3:uid="{00000000-0010-0000-0500-00000E000000}" name="amount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LabBank" displayName="tblLabBank" ref="N1:Q81">
  <autoFilter ref="N1:Q81" xr:uid="{00000000-0009-0000-0100-000007000000}"/>
  <tableColumns count="4">
    <tableColumn id="14" xr3:uid="{00000000-0010-0000-0600-00000E000000}" name="bank_ref"/>
    <tableColumn id="15" xr3:uid="{00000000-0010-0000-0600-00000F000000}" name="post_date"/>
    <tableColumn id="16" xr3:uid="{00000000-0010-0000-0600-000010000000}" name="description"/>
    <tableColumn id="17" xr3:uid="{00000000-0010-0000-0600-000011000000}" name="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A53"/>
  <sheetViews>
    <sheetView showGridLines="0" tabSelected="1" workbookViewId="0"/>
  </sheetViews>
  <sheetFormatPr defaultRowHeight="15" x14ac:dyDescent="0.25"/>
  <cols>
    <col min="1" max="1" width="104" customWidth="1"/>
  </cols>
  <sheetData>
    <row r="1" spans="1:1" ht="18.75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/>
    </row>
    <row r="4" spans="1:1" x14ac:dyDescent="0.25">
      <c r="A4" s="3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 t="s">
        <v>7</v>
      </c>
    </row>
    <row r="10" spans="1:1" x14ac:dyDescent="0.25">
      <c r="A10" s="2" t="s">
        <v>8</v>
      </c>
    </row>
    <row r="11" spans="1:1" x14ac:dyDescent="0.25">
      <c r="A11" s="2"/>
    </row>
    <row r="12" spans="1:1" x14ac:dyDescent="0.25">
      <c r="A12" s="3" t="s">
        <v>9</v>
      </c>
    </row>
    <row r="13" spans="1:1" x14ac:dyDescent="0.25">
      <c r="A13" s="2" t="s">
        <v>10</v>
      </c>
    </row>
    <row r="14" spans="1:1" x14ac:dyDescent="0.25">
      <c r="A14" s="2" t="s">
        <v>11</v>
      </c>
    </row>
    <row r="15" spans="1:1" x14ac:dyDescent="0.25">
      <c r="A15" s="2" t="s">
        <v>12</v>
      </c>
    </row>
    <row r="16" spans="1:1" x14ac:dyDescent="0.25">
      <c r="A16" s="2" t="s">
        <v>13</v>
      </c>
    </row>
    <row r="17" spans="1:1" x14ac:dyDescent="0.25">
      <c r="A17" s="2"/>
    </row>
    <row r="18" spans="1:1" x14ac:dyDescent="0.25">
      <c r="A18" s="3" t="s">
        <v>14</v>
      </c>
    </row>
    <row r="19" spans="1:1" x14ac:dyDescent="0.25">
      <c r="A19" s="2" t="s">
        <v>15</v>
      </c>
    </row>
    <row r="20" spans="1:1" x14ac:dyDescent="0.25">
      <c r="A20" s="2" t="s">
        <v>16</v>
      </c>
    </row>
    <row r="21" spans="1:1" x14ac:dyDescent="0.25">
      <c r="A21" s="2" t="s">
        <v>17</v>
      </c>
    </row>
    <row r="22" spans="1:1" x14ac:dyDescent="0.25">
      <c r="A22" s="2" t="s">
        <v>18</v>
      </c>
    </row>
    <row r="23" spans="1:1" x14ac:dyDescent="0.25">
      <c r="A23" s="2" t="s">
        <v>19</v>
      </c>
    </row>
    <row r="24" spans="1:1" x14ac:dyDescent="0.25">
      <c r="A24" s="2" t="s">
        <v>20</v>
      </c>
    </row>
    <row r="25" spans="1:1" x14ac:dyDescent="0.25">
      <c r="A25" s="2" t="s">
        <v>21</v>
      </c>
    </row>
    <row r="26" spans="1:1" x14ac:dyDescent="0.25">
      <c r="A26" s="2" t="s">
        <v>22</v>
      </c>
    </row>
    <row r="27" spans="1:1" x14ac:dyDescent="0.25">
      <c r="A27" s="2" t="s">
        <v>23</v>
      </c>
    </row>
    <row r="28" spans="1:1" x14ac:dyDescent="0.25">
      <c r="A28" s="2" t="s">
        <v>24</v>
      </c>
    </row>
    <row r="29" spans="1:1" x14ac:dyDescent="0.25">
      <c r="A29" s="2"/>
    </row>
    <row r="30" spans="1:1" x14ac:dyDescent="0.25">
      <c r="A30" s="3" t="s">
        <v>25</v>
      </c>
    </row>
    <row r="31" spans="1:1" x14ac:dyDescent="0.25">
      <c r="A31" s="2" t="s">
        <v>26</v>
      </c>
    </row>
    <row r="32" spans="1:1" x14ac:dyDescent="0.25">
      <c r="A32" s="2" t="s">
        <v>27</v>
      </c>
    </row>
    <row r="33" spans="1:1" x14ac:dyDescent="0.25">
      <c r="A33" s="2" t="s">
        <v>28</v>
      </c>
    </row>
    <row r="34" spans="1:1" x14ac:dyDescent="0.25">
      <c r="A34" s="2" t="s">
        <v>29</v>
      </c>
    </row>
    <row r="35" spans="1:1" x14ac:dyDescent="0.25">
      <c r="A35" s="2" t="s">
        <v>30</v>
      </c>
    </row>
    <row r="36" spans="1:1" x14ac:dyDescent="0.25">
      <c r="A36" s="2" t="s">
        <v>31</v>
      </c>
    </row>
    <row r="37" spans="1:1" x14ac:dyDescent="0.25">
      <c r="A37" s="2" t="s">
        <v>32</v>
      </c>
    </row>
    <row r="38" spans="1:1" x14ac:dyDescent="0.25">
      <c r="A38" s="2" t="s">
        <v>33</v>
      </c>
    </row>
    <row r="39" spans="1:1" x14ac:dyDescent="0.25">
      <c r="A39" s="2" t="s">
        <v>34</v>
      </c>
    </row>
    <row r="40" spans="1:1" x14ac:dyDescent="0.25">
      <c r="A40" s="2" t="s">
        <v>35</v>
      </c>
    </row>
    <row r="41" spans="1:1" x14ac:dyDescent="0.25">
      <c r="A41" s="2" t="s">
        <v>36</v>
      </c>
    </row>
    <row r="42" spans="1:1" x14ac:dyDescent="0.25">
      <c r="A42" s="2" t="s">
        <v>37</v>
      </c>
    </row>
    <row r="43" spans="1:1" x14ac:dyDescent="0.25">
      <c r="A43" s="2" t="s">
        <v>38</v>
      </c>
    </row>
    <row r="44" spans="1:1" x14ac:dyDescent="0.25">
      <c r="A44" s="2" t="s">
        <v>39</v>
      </c>
    </row>
    <row r="45" spans="1:1" x14ac:dyDescent="0.25">
      <c r="A45" s="2" t="s">
        <v>40</v>
      </c>
    </row>
    <row r="46" spans="1:1" x14ac:dyDescent="0.25">
      <c r="A46" s="2" t="s">
        <v>41</v>
      </c>
    </row>
    <row r="47" spans="1:1" x14ac:dyDescent="0.25">
      <c r="A47" s="2"/>
    </row>
    <row r="48" spans="1:1" x14ac:dyDescent="0.25">
      <c r="A48" s="3" t="s">
        <v>42</v>
      </c>
    </row>
    <row r="49" spans="1:1" x14ac:dyDescent="0.25">
      <c r="A49" s="2" t="s">
        <v>43</v>
      </c>
    </row>
    <row r="50" spans="1:1" x14ac:dyDescent="0.25">
      <c r="A50" s="2" t="s">
        <v>44</v>
      </c>
    </row>
    <row r="51" spans="1:1" x14ac:dyDescent="0.25">
      <c r="A51" s="2" t="s">
        <v>45</v>
      </c>
    </row>
    <row r="52" spans="1:1" x14ac:dyDescent="0.25">
      <c r="A52" s="2"/>
    </row>
    <row r="53" spans="1:1" x14ac:dyDescent="0.25">
      <c r="A53" s="4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1"/>
  <sheetViews>
    <sheetView workbookViewId="0"/>
  </sheetViews>
  <sheetFormatPr defaultRowHeight="15" x14ac:dyDescent="0.25"/>
  <cols>
    <col min="1" max="1" width="9" customWidth="1"/>
    <col min="2" max="2" width="8" customWidth="1"/>
    <col min="3" max="3" width="13" customWidth="1"/>
    <col min="4" max="4" width="11" customWidth="1"/>
    <col min="5" max="5" width="9" customWidth="1"/>
    <col min="6" max="7" width="8" customWidth="1"/>
    <col min="8" max="9" width="9" customWidth="1"/>
    <col min="10" max="10" width="8" customWidth="1"/>
    <col min="16" max="16" width="92" customWidth="1"/>
  </cols>
  <sheetData>
    <row r="1" spans="1:16" ht="18.75" x14ac:dyDescent="0.25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P1" s="1" t="s">
        <v>57</v>
      </c>
    </row>
    <row r="2" spans="1:16" x14ac:dyDescent="0.25">
      <c r="A2" t="s">
        <v>58</v>
      </c>
      <c r="B2" t="s">
        <v>59</v>
      </c>
      <c r="C2" t="s">
        <v>60</v>
      </c>
      <c r="D2" t="s">
        <v>61</v>
      </c>
      <c r="E2" t="s">
        <v>62</v>
      </c>
      <c r="F2">
        <v>46061</v>
      </c>
      <c r="G2">
        <v>46251</v>
      </c>
      <c r="H2">
        <v>478500</v>
      </c>
      <c r="I2">
        <v>358900</v>
      </c>
      <c r="J2" t="s">
        <v>63</v>
      </c>
      <c r="P2" s="4" t="s">
        <v>64</v>
      </c>
    </row>
    <row r="3" spans="1:16" x14ac:dyDescent="0.25">
      <c r="A3" t="s">
        <v>65</v>
      </c>
      <c r="B3" t="s">
        <v>66</v>
      </c>
      <c r="C3" t="s">
        <v>67</v>
      </c>
      <c r="D3" t="s">
        <v>68</v>
      </c>
      <c r="E3" t="s">
        <v>69</v>
      </c>
      <c r="F3">
        <v>46092</v>
      </c>
      <c r="G3">
        <v>46167</v>
      </c>
      <c r="H3">
        <v>298500</v>
      </c>
      <c r="I3">
        <v>364200</v>
      </c>
      <c r="J3" t="s">
        <v>63</v>
      </c>
      <c r="P3" s="4" t="s">
        <v>70</v>
      </c>
    </row>
    <row r="4" spans="1:16" x14ac:dyDescent="0.25">
      <c r="A4" t="s">
        <v>71</v>
      </c>
      <c r="B4" t="s">
        <v>72</v>
      </c>
      <c r="C4" t="s">
        <v>73</v>
      </c>
      <c r="D4" t="s">
        <v>74</v>
      </c>
      <c r="E4" t="s">
        <v>75</v>
      </c>
      <c r="F4">
        <v>46147</v>
      </c>
      <c r="G4">
        <v>46289</v>
      </c>
      <c r="H4">
        <v>448500</v>
      </c>
      <c r="I4">
        <v>408100</v>
      </c>
      <c r="J4" t="s">
        <v>63</v>
      </c>
      <c r="P4" s="4" t="s">
        <v>76</v>
      </c>
    </row>
    <row r="5" spans="1:16" x14ac:dyDescent="0.25">
      <c r="A5" t="s">
        <v>77</v>
      </c>
      <c r="B5" t="s">
        <v>78</v>
      </c>
      <c r="C5" t="s">
        <v>79</v>
      </c>
      <c r="D5" t="s">
        <v>80</v>
      </c>
      <c r="E5" t="s">
        <v>81</v>
      </c>
      <c r="F5">
        <v>46051</v>
      </c>
      <c r="G5">
        <v>46220</v>
      </c>
      <c r="H5">
        <v>59500</v>
      </c>
      <c r="J5" t="s">
        <v>82</v>
      </c>
      <c r="P5" s="2"/>
    </row>
    <row r="6" spans="1:16" x14ac:dyDescent="0.25">
      <c r="A6" t="s">
        <v>83</v>
      </c>
      <c r="B6" t="s">
        <v>84</v>
      </c>
      <c r="C6" t="s">
        <v>85</v>
      </c>
      <c r="D6" t="s">
        <v>86</v>
      </c>
      <c r="E6" t="s">
        <v>87</v>
      </c>
      <c r="F6">
        <v>46137</v>
      </c>
      <c r="G6">
        <v>46337</v>
      </c>
      <c r="H6">
        <v>435000</v>
      </c>
      <c r="I6">
        <v>295800</v>
      </c>
      <c r="J6" t="s">
        <v>88</v>
      </c>
      <c r="P6" s="3" t="s">
        <v>89</v>
      </c>
    </row>
    <row r="7" spans="1:16" x14ac:dyDescent="0.25">
      <c r="A7" t="s">
        <v>90</v>
      </c>
      <c r="B7" t="s">
        <v>91</v>
      </c>
      <c r="C7" t="s">
        <v>92</v>
      </c>
      <c r="D7" t="s">
        <v>61</v>
      </c>
      <c r="E7" t="s">
        <v>62</v>
      </c>
      <c r="F7">
        <v>46141</v>
      </c>
      <c r="G7">
        <v>46254</v>
      </c>
      <c r="H7">
        <v>414000</v>
      </c>
      <c r="I7">
        <v>376700</v>
      </c>
      <c r="J7" t="s">
        <v>93</v>
      </c>
    </row>
    <row r="8" spans="1:16" x14ac:dyDescent="0.25">
      <c r="A8" t="s">
        <v>94</v>
      </c>
      <c r="B8" t="s">
        <v>95</v>
      </c>
      <c r="C8" t="s">
        <v>96</v>
      </c>
      <c r="D8" t="s">
        <v>68</v>
      </c>
      <c r="E8" t="s">
        <v>69</v>
      </c>
      <c r="F8">
        <v>46053</v>
      </c>
      <c r="G8">
        <v>46179</v>
      </c>
      <c r="H8">
        <v>60500</v>
      </c>
      <c r="I8">
        <v>41100</v>
      </c>
      <c r="J8" t="s">
        <v>63</v>
      </c>
    </row>
    <row r="9" spans="1:16" x14ac:dyDescent="0.25">
      <c r="A9" t="s">
        <v>97</v>
      </c>
      <c r="B9" t="s">
        <v>98</v>
      </c>
      <c r="C9" t="s">
        <v>99</v>
      </c>
      <c r="D9" t="s">
        <v>74</v>
      </c>
      <c r="E9" t="s">
        <v>75</v>
      </c>
      <c r="F9">
        <v>46033</v>
      </c>
      <c r="G9">
        <v>46216</v>
      </c>
      <c r="H9">
        <v>49500</v>
      </c>
      <c r="I9">
        <v>54900</v>
      </c>
      <c r="J9" t="s">
        <v>63</v>
      </c>
    </row>
    <row r="10" spans="1:16" x14ac:dyDescent="0.25">
      <c r="A10" t="s">
        <v>100</v>
      </c>
      <c r="B10" t="s">
        <v>101</v>
      </c>
      <c r="C10" t="s">
        <v>102</v>
      </c>
      <c r="D10" t="s">
        <v>80</v>
      </c>
      <c r="E10" t="s">
        <v>81</v>
      </c>
      <c r="F10">
        <v>46082</v>
      </c>
      <c r="G10">
        <v>46235</v>
      </c>
      <c r="H10">
        <v>416500</v>
      </c>
      <c r="I10">
        <v>283200</v>
      </c>
      <c r="J10" t="s">
        <v>63</v>
      </c>
    </row>
    <row r="11" spans="1:16" x14ac:dyDescent="0.25">
      <c r="A11" t="s">
        <v>103</v>
      </c>
      <c r="B11" t="s">
        <v>104</v>
      </c>
      <c r="C11" t="s">
        <v>105</v>
      </c>
      <c r="D11" t="s">
        <v>86</v>
      </c>
      <c r="E11" t="s">
        <v>87</v>
      </c>
      <c r="F11">
        <v>46162</v>
      </c>
      <c r="G11">
        <v>46263</v>
      </c>
      <c r="H11">
        <v>436000</v>
      </c>
      <c r="J11" t="s">
        <v>82</v>
      </c>
    </row>
    <row r="12" spans="1:16" x14ac:dyDescent="0.25">
      <c r="A12" t="s">
        <v>106</v>
      </c>
      <c r="B12" t="s">
        <v>107</v>
      </c>
      <c r="C12" t="s">
        <v>60</v>
      </c>
      <c r="D12" t="s">
        <v>61</v>
      </c>
      <c r="E12" t="s">
        <v>62</v>
      </c>
      <c r="F12">
        <v>46153</v>
      </c>
      <c r="G12">
        <v>46339</v>
      </c>
      <c r="H12">
        <v>164000</v>
      </c>
      <c r="I12">
        <v>170600</v>
      </c>
      <c r="J12" t="s">
        <v>88</v>
      </c>
    </row>
    <row r="13" spans="1:16" x14ac:dyDescent="0.25">
      <c r="A13" t="s">
        <v>108</v>
      </c>
      <c r="B13" t="s">
        <v>109</v>
      </c>
      <c r="C13" t="s">
        <v>67</v>
      </c>
      <c r="D13" t="s">
        <v>68</v>
      </c>
      <c r="E13" t="s">
        <v>69</v>
      </c>
      <c r="F13">
        <v>46086</v>
      </c>
      <c r="G13">
        <v>46187</v>
      </c>
      <c r="H13">
        <v>434500</v>
      </c>
      <c r="I13">
        <v>530100</v>
      </c>
      <c r="J13" t="s">
        <v>93</v>
      </c>
    </row>
    <row r="14" spans="1:16" x14ac:dyDescent="0.25">
      <c r="A14" t="s">
        <v>110</v>
      </c>
      <c r="B14" t="s">
        <v>111</v>
      </c>
      <c r="C14" t="s">
        <v>73</v>
      </c>
      <c r="D14" t="s">
        <v>74</v>
      </c>
      <c r="E14" t="s">
        <v>75</v>
      </c>
      <c r="F14">
        <v>46101</v>
      </c>
      <c r="G14">
        <v>46151</v>
      </c>
      <c r="H14">
        <v>258000</v>
      </c>
      <c r="I14">
        <v>193500</v>
      </c>
      <c r="J14" t="s">
        <v>63</v>
      </c>
    </row>
    <row r="15" spans="1:16" x14ac:dyDescent="0.25">
      <c r="A15" t="s">
        <v>112</v>
      </c>
      <c r="B15" t="s">
        <v>113</v>
      </c>
      <c r="C15" t="s">
        <v>79</v>
      </c>
      <c r="D15" t="s">
        <v>80</v>
      </c>
      <c r="E15" t="s">
        <v>81</v>
      </c>
      <c r="F15">
        <v>46074</v>
      </c>
      <c r="G15">
        <v>46280</v>
      </c>
      <c r="H15">
        <v>415500</v>
      </c>
      <c r="I15">
        <v>403000</v>
      </c>
      <c r="J15" t="s">
        <v>63</v>
      </c>
    </row>
    <row r="16" spans="1:16" x14ac:dyDescent="0.25">
      <c r="A16" t="s">
        <v>114</v>
      </c>
      <c r="B16" t="s">
        <v>115</v>
      </c>
      <c r="C16" t="s">
        <v>85</v>
      </c>
      <c r="D16" t="s">
        <v>86</v>
      </c>
      <c r="E16" t="s">
        <v>87</v>
      </c>
      <c r="F16">
        <v>46057</v>
      </c>
      <c r="G16">
        <v>46187</v>
      </c>
      <c r="H16">
        <v>414000</v>
      </c>
      <c r="I16">
        <v>459500</v>
      </c>
      <c r="J16" t="s">
        <v>63</v>
      </c>
    </row>
    <row r="17" spans="1:10" x14ac:dyDescent="0.25">
      <c r="A17" t="s">
        <v>116</v>
      </c>
      <c r="B17" t="s">
        <v>117</v>
      </c>
      <c r="C17" t="s">
        <v>92</v>
      </c>
      <c r="D17" t="s">
        <v>61</v>
      </c>
      <c r="E17" t="s">
        <v>62</v>
      </c>
      <c r="F17">
        <v>46156</v>
      </c>
      <c r="G17">
        <v>46249</v>
      </c>
      <c r="H17">
        <v>200000</v>
      </c>
      <c r="I17">
        <v>194000</v>
      </c>
      <c r="J17" t="s">
        <v>82</v>
      </c>
    </row>
    <row r="18" spans="1:10" x14ac:dyDescent="0.25">
      <c r="A18" t="s">
        <v>118</v>
      </c>
      <c r="B18" t="s">
        <v>119</v>
      </c>
      <c r="C18" t="s">
        <v>96</v>
      </c>
      <c r="D18" t="s">
        <v>68</v>
      </c>
      <c r="E18" t="s">
        <v>69</v>
      </c>
      <c r="F18">
        <v>46154</v>
      </c>
      <c r="G18">
        <v>46328</v>
      </c>
      <c r="H18">
        <v>246000</v>
      </c>
      <c r="I18">
        <v>167300</v>
      </c>
      <c r="J18" t="s">
        <v>88</v>
      </c>
    </row>
    <row r="19" spans="1:10" x14ac:dyDescent="0.25">
      <c r="A19" t="s">
        <v>120</v>
      </c>
      <c r="B19" t="s">
        <v>121</v>
      </c>
      <c r="C19" t="s">
        <v>99</v>
      </c>
      <c r="D19" t="s">
        <v>74</v>
      </c>
      <c r="E19" t="s">
        <v>75</v>
      </c>
      <c r="F19">
        <v>46149</v>
      </c>
      <c r="G19">
        <v>46256</v>
      </c>
      <c r="H19">
        <v>425500</v>
      </c>
      <c r="I19">
        <v>472300</v>
      </c>
      <c r="J19" t="s">
        <v>93</v>
      </c>
    </row>
    <row r="20" spans="1:10" x14ac:dyDescent="0.25">
      <c r="A20" t="s">
        <v>122</v>
      </c>
      <c r="B20" t="s">
        <v>123</v>
      </c>
      <c r="C20" t="s">
        <v>102</v>
      </c>
      <c r="D20" t="s">
        <v>80</v>
      </c>
      <c r="E20" t="s">
        <v>81</v>
      </c>
      <c r="F20">
        <v>46133</v>
      </c>
      <c r="G20">
        <v>46222</v>
      </c>
      <c r="H20">
        <v>232500</v>
      </c>
      <c r="J20" t="s">
        <v>63</v>
      </c>
    </row>
    <row r="21" spans="1:10" x14ac:dyDescent="0.25">
      <c r="A21" t="s">
        <v>124</v>
      </c>
      <c r="B21" t="s">
        <v>125</v>
      </c>
      <c r="C21" t="s">
        <v>105</v>
      </c>
      <c r="D21" t="s">
        <v>86</v>
      </c>
      <c r="E21" t="s">
        <v>87</v>
      </c>
      <c r="F21">
        <v>46049</v>
      </c>
      <c r="G21">
        <v>46206</v>
      </c>
      <c r="H21">
        <v>384500</v>
      </c>
      <c r="I21">
        <v>288400</v>
      </c>
      <c r="J21" t="s">
        <v>63</v>
      </c>
    </row>
    <row r="22" spans="1:10" x14ac:dyDescent="0.25">
      <c r="A22" t="s">
        <v>126</v>
      </c>
      <c r="B22" t="s">
        <v>127</v>
      </c>
      <c r="C22" t="s">
        <v>60</v>
      </c>
      <c r="D22" t="s">
        <v>61</v>
      </c>
      <c r="E22" t="s">
        <v>62</v>
      </c>
      <c r="F22">
        <v>46068</v>
      </c>
      <c r="G22">
        <v>46246</v>
      </c>
      <c r="H22">
        <v>475000</v>
      </c>
      <c r="I22">
        <v>527200</v>
      </c>
      <c r="J22" t="s">
        <v>63</v>
      </c>
    </row>
    <row r="23" spans="1:10" x14ac:dyDescent="0.25">
      <c r="A23" t="s">
        <v>128</v>
      </c>
      <c r="B23" t="s">
        <v>129</v>
      </c>
      <c r="C23" t="s">
        <v>67</v>
      </c>
      <c r="D23" t="s">
        <v>68</v>
      </c>
      <c r="E23" t="s">
        <v>69</v>
      </c>
      <c r="F23">
        <v>46121</v>
      </c>
      <c r="G23">
        <v>46291</v>
      </c>
      <c r="H23">
        <v>420000</v>
      </c>
      <c r="I23">
        <v>285600</v>
      </c>
      <c r="J23" t="s">
        <v>82</v>
      </c>
    </row>
    <row r="24" spans="1:10" x14ac:dyDescent="0.25">
      <c r="A24" t="s">
        <v>130</v>
      </c>
      <c r="B24" t="s">
        <v>131</v>
      </c>
      <c r="C24" t="s">
        <v>73</v>
      </c>
      <c r="D24" t="s">
        <v>74</v>
      </c>
      <c r="E24" t="s">
        <v>75</v>
      </c>
      <c r="F24">
        <v>46147</v>
      </c>
      <c r="G24">
        <v>46203</v>
      </c>
      <c r="H24">
        <v>202500</v>
      </c>
      <c r="I24">
        <v>224800</v>
      </c>
      <c r="J24" t="s">
        <v>88</v>
      </c>
    </row>
    <row r="25" spans="1:10" x14ac:dyDescent="0.25">
      <c r="A25" t="s">
        <v>132</v>
      </c>
      <c r="B25" t="s">
        <v>133</v>
      </c>
      <c r="C25" t="s">
        <v>79</v>
      </c>
      <c r="D25" t="s">
        <v>80</v>
      </c>
      <c r="E25" t="s">
        <v>81</v>
      </c>
      <c r="F25">
        <v>46070</v>
      </c>
      <c r="G25">
        <v>46158</v>
      </c>
      <c r="H25">
        <v>302000</v>
      </c>
      <c r="I25">
        <v>274800</v>
      </c>
      <c r="J25" t="s">
        <v>93</v>
      </c>
    </row>
    <row r="26" spans="1:10" x14ac:dyDescent="0.25">
      <c r="A26" t="s">
        <v>134</v>
      </c>
      <c r="B26" t="s">
        <v>135</v>
      </c>
      <c r="C26" t="s">
        <v>85</v>
      </c>
      <c r="D26" t="s">
        <v>86</v>
      </c>
      <c r="E26" t="s">
        <v>87</v>
      </c>
      <c r="F26">
        <v>46030</v>
      </c>
      <c r="G26">
        <v>46126</v>
      </c>
      <c r="H26">
        <v>321000</v>
      </c>
      <c r="I26">
        <v>292100</v>
      </c>
      <c r="J26" t="s">
        <v>63</v>
      </c>
    </row>
    <row r="27" spans="1:10" x14ac:dyDescent="0.25">
      <c r="A27" t="s">
        <v>136</v>
      </c>
      <c r="B27" t="s">
        <v>59</v>
      </c>
      <c r="C27" t="s">
        <v>92</v>
      </c>
      <c r="D27" t="s">
        <v>61</v>
      </c>
      <c r="E27" t="s">
        <v>62</v>
      </c>
      <c r="F27">
        <v>46130</v>
      </c>
      <c r="G27">
        <v>46306</v>
      </c>
      <c r="H27">
        <v>221000</v>
      </c>
      <c r="I27">
        <v>229800</v>
      </c>
      <c r="J27" t="s">
        <v>63</v>
      </c>
    </row>
    <row r="28" spans="1:10" x14ac:dyDescent="0.25">
      <c r="A28" t="s">
        <v>137</v>
      </c>
      <c r="B28" t="s">
        <v>66</v>
      </c>
      <c r="C28" t="s">
        <v>96</v>
      </c>
      <c r="D28" t="s">
        <v>68</v>
      </c>
      <c r="E28" t="s">
        <v>69</v>
      </c>
      <c r="F28">
        <v>46144</v>
      </c>
      <c r="G28">
        <v>46257</v>
      </c>
      <c r="H28">
        <v>382500</v>
      </c>
      <c r="I28">
        <v>260100</v>
      </c>
      <c r="J28" t="s">
        <v>63</v>
      </c>
    </row>
    <row r="29" spans="1:10" x14ac:dyDescent="0.25">
      <c r="A29" t="s">
        <v>138</v>
      </c>
      <c r="B29" t="s">
        <v>72</v>
      </c>
      <c r="C29" t="s">
        <v>99</v>
      </c>
      <c r="D29" t="s">
        <v>74</v>
      </c>
      <c r="E29" t="s">
        <v>75</v>
      </c>
      <c r="F29">
        <v>46125</v>
      </c>
      <c r="G29">
        <v>46301</v>
      </c>
      <c r="H29">
        <v>459000</v>
      </c>
      <c r="J29" t="s">
        <v>82</v>
      </c>
    </row>
    <row r="30" spans="1:10" x14ac:dyDescent="0.25">
      <c r="A30" t="s">
        <v>139</v>
      </c>
      <c r="B30" t="s">
        <v>78</v>
      </c>
      <c r="C30" t="s">
        <v>102</v>
      </c>
      <c r="D30" t="s">
        <v>80</v>
      </c>
      <c r="E30" t="s">
        <v>81</v>
      </c>
      <c r="F30">
        <v>46159</v>
      </c>
      <c r="G30">
        <v>46347</v>
      </c>
      <c r="H30">
        <v>150000</v>
      </c>
      <c r="I30">
        <v>166500</v>
      </c>
      <c r="J30" t="s">
        <v>88</v>
      </c>
    </row>
    <row r="31" spans="1:10" x14ac:dyDescent="0.25">
      <c r="A31" t="s">
        <v>140</v>
      </c>
      <c r="B31" t="s">
        <v>84</v>
      </c>
      <c r="C31" t="s">
        <v>105</v>
      </c>
      <c r="D31" t="s">
        <v>86</v>
      </c>
      <c r="E31" t="s">
        <v>87</v>
      </c>
      <c r="F31">
        <v>46041</v>
      </c>
      <c r="G31">
        <v>46209</v>
      </c>
      <c r="H31">
        <v>231500</v>
      </c>
      <c r="I31">
        <v>210700</v>
      </c>
      <c r="J31" t="s">
        <v>93</v>
      </c>
    </row>
    <row r="32" spans="1:10" x14ac:dyDescent="0.25">
      <c r="A32" t="s">
        <v>141</v>
      </c>
      <c r="B32" t="s">
        <v>91</v>
      </c>
      <c r="C32" t="s">
        <v>60</v>
      </c>
      <c r="D32" t="s">
        <v>61</v>
      </c>
      <c r="E32" t="s">
        <v>62</v>
      </c>
      <c r="F32">
        <v>46156</v>
      </c>
      <c r="G32">
        <v>46306</v>
      </c>
      <c r="H32">
        <v>293000</v>
      </c>
      <c r="I32">
        <v>304700</v>
      </c>
      <c r="J32" t="s">
        <v>63</v>
      </c>
    </row>
    <row r="33" spans="1:10" x14ac:dyDescent="0.25">
      <c r="A33" t="s">
        <v>142</v>
      </c>
      <c r="B33" t="s">
        <v>95</v>
      </c>
      <c r="C33" t="s">
        <v>67</v>
      </c>
      <c r="D33" t="s">
        <v>68</v>
      </c>
      <c r="E33" t="s">
        <v>69</v>
      </c>
      <c r="F33">
        <v>46133</v>
      </c>
      <c r="G33">
        <v>46266</v>
      </c>
      <c r="H33">
        <v>45500</v>
      </c>
      <c r="I33">
        <v>47300</v>
      </c>
      <c r="J33" t="s">
        <v>63</v>
      </c>
    </row>
    <row r="34" spans="1:10" x14ac:dyDescent="0.25">
      <c r="A34" t="s">
        <v>118</v>
      </c>
      <c r="B34" t="s">
        <v>98</v>
      </c>
      <c r="C34" t="s">
        <v>73</v>
      </c>
      <c r="D34" t="s">
        <v>74</v>
      </c>
      <c r="E34" t="s">
        <v>75</v>
      </c>
      <c r="F34">
        <v>46144</v>
      </c>
      <c r="G34">
        <v>46342</v>
      </c>
      <c r="H34">
        <v>59000</v>
      </c>
      <c r="I34">
        <v>53700</v>
      </c>
      <c r="J34" t="s">
        <v>63</v>
      </c>
    </row>
    <row r="35" spans="1:10" x14ac:dyDescent="0.25">
      <c r="A35" t="s">
        <v>143</v>
      </c>
      <c r="B35" t="s">
        <v>101</v>
      </c>
      <c r="C35" t="s">
        <v>79</v>
      </c>
      <c r="D35" t="s">
        <v>80</v>
      </c>
      <c r="E35" t="s">
        <v>81</v>
      </c>
      <c r="F35">
        <v>46072</v>
      </c>
      <c r="G35">
        <v>46257</v>
      </c>
      <c r="H35">
        <v>344000</v>
      </c>
      <c r="I35">
        <v>282100</v>
      </c>
      <c r="J35" t="s">
        <v>82</v>
      </c>
    </row>
    <row r="36" spans="1:10" x14ac:dyDescent="0.25">
      <c r="A36" t="s">
        <v>144</v>
      </c>
      <c r="B36" t="s">
        <v>104</v>
      </c>
      <c r="C36" t="s">
        <v>85</v>
      </c>
      <c r="D36" t="s">
        <v>86</v>
      </c>
      <c r="E36" t="s">
        <v>87</v>
      </c>
      <c r="F36">
        <v>46050</v>
      </c>
      <c r="G36">
        <v>46236</v>
      </c>
      <c r="H36">
        <v>453000</v>
      </c>
      <c r="J36" t="s">
        <v>88</v>
      </c>
    </row>
    <row r="37" spans="1:10" x14ac:dyDescent="0.25">
      <c r="A37" t="s">
        <v>145</v>
      </c>
      <c r="B37" t="s">
        <v>107</v>
      </c>
      <c r="C37" t="s">
        <v>92</v>
      </c>
      <c r="D37" t="s">
        <v>61</v>
      </c>
      <c r="E37" t="s">
        <v>62</v>
      </c>
      <c r="F37">
        <v>46035</v>
      </c>
      <c r="G37">
        <v>46098</v>
      </c>
      <c r="H37">
        <v>87500</v>
      </c>
      <c r="I37">
        <v>59500</v>
      </c>
      <c r="J37" t="s">
        <v>93</v>
      </c>
    </row>
    <row r="38" spans="1:10" x14ac:dyDescent="0.25">
      <c r="A38" t="s">
        <v>146</v>
      </c>
      <c r="B38" t="s">
        <v>147</v>
      </c>
      <c r="C38" t="s">
        <v>96</v>
      </c>
      <c r="D38" t="s">
        <v>68</v>
      </c>
      <c r="E38" t="s">
        <v>69</v>
      </c>
      <c r="F38">
        <v>46142</v>
      </c>
      <c r="G38">
        <v>46190</v>
      </c>
      <c r="H38">
        <v>431000</v>
      </c>
      <c r="I38">
        <v>418100</v>
      </c>
      <c r="J38" t="s">
        <v>63</v>
      </c>
    </row>
    <row r="39" spans="1:10" x14ac:dyDescent="0.25">
      <c r="A39" t="s">
        <v>148</v>
      </c>
      <c r="B39" t="s">
        <v>111</v>
      </c>
      <c r="C39" t="s">
        <v>99</v>
      </c>
      <c r="D39" t="s">
        <v>74</v>
      </c>
      <c r="E39" t="s">
        <v>75</v>
      </c>
      <c r="F39">
        <v>46090</v>
      </c>
      <c r="G39">
        <v>46203</v>
      </c>
      <c r="H39">
        <v>101000</v>
      </c>
      <c r="I39">
        <v>82800</v>
      </c>
      <c r="J39" t="s">
        <v>63</v>
      </c>
    </row>
    <row r="40" spans="1:10" x14ac:dyDescent="0.25">
      <c r="A40" t="s">
        <v>149</v>
      </c>
      <c r="B40" t="s">
        <v>113</v>
      </c>
      <c r="C40" t="s">
        <v>102</v>
      </c>
      <c r="D40" t="s">
        <v>80</v>
      </c>
      <c r="E40" t="s">
        <v>81</v>
      </c>
      <c r="F40">
        <v>46115</v>
      </c>
      <c r="G40">
        <v>46234</v>
      </c>
      <c r="H40">
        <v>80500</v>
      </c>
      <c r="I40">
        <v>66000</v>
      </c>
      <c r="J40" t="s">
        <v>63</v>
      </c>
    </row>
    <row r="41" spans="1:10" x14ac:dyDescent="0.25">
      <c r="A41" t="s">
        <v>150</v>
      </c>
      <c r="B41" t="s">
        <v>115</v>
      </c>
      <c r="C41" t="s">
        <v>105</v>
      </c>
      <c r="D41" t="s">
        <v>86</v>
      </c>
      <c r="E41" t="s">
        <v>87</v>
      </c>
      <c r="F41">
        <v>46067</v>
      </c>
      <c r="G41">
        <v>46177</v>
      </c>
      <c r="H41">
        <v>315000</v>
      </c>
      <c r="J41" t="s">
        <v>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2" width="11" customWidth="1"/>
    <col min="3" max="3" width="26" customWidth="1"/>
    <col min="4" max="4" width="17" customWidth="1"/>
    <col min="5" max="5" width="16" customWidth="1"/>
    <col min="6" max="8" width="12" customWidth="1"/>
    <col min="9" max="9" width="13" customWidth="1"/>
    <col min="10" max="10" width="11" customWidth="1"/>
    <col min="11" max="12" width="12" customWidth="1"/>
    <col min="13" max="13" width="18" customWidth="1"/>
    <col min="18" max="18" width="2" customWidth="1"/>
    <col min="19" max="19" width="22" customWidth="1"/>
    <col min="20" max="20" width="14" customWidth="1"/>
    <col min="22" max="22" width="88" customWidth="1"/>
  </cols>
  <sheetData>
    <row r="1" spans="1:22" ht="18.75" x14ac:dyDescent="0.25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151</v>
      </c>
      <c r="L1" t="s">
        <v>152</v>
      </c>
      <c r="M1" t="s">
        <v>153</v>
      </c>
      <c r="S1" s="5" t="s">
        <v>154</v>
      </c>
      <c r="V1" s="1" t="s">
        <v>155</v>
      </c>
    </row>
    <row r="2" spans="1:22" x14ac:dyDescent="0.25">
      <c r="A2" t="s">
        <v>58</v>
      </c>
      <c r="B2" t="s">
        <v>59</v>
      </c>
      <c r="C2" t="s">
        <v>60</v>
      </c>
      <c r="D2" t="s">
        <v>61</v>
      </c>
      <c r="E2" t="s">
        <v>62</v>
      </c>
      <c r="F2" s="6">
        <v>46061</v>
      </c>
      <c r="G2" s="6">
        <v>46251</v>
      </c>
      <c r="H2" s="7">
        <v>478500</v>
      </c>
      <c r="I2" s="7">
        <v>358900</v>
      </c>
      <c r="J2" t="s">
        <v>63</v>
      </c>
      <c r="K2" s="7"/>
      <c r="L2" s="8"/>
      <c r="M2" s="7"/>
      <c r="S2" s="9" t="s">
        <v>156</v>
      </c>
      <c r="T2" s="10">
        <v>7.4999999999999997E-2</v>
      </c>
      <c r="V2" s="4" t="s">
        <v>157</v>
      </c>
    </row>
    <row r="3" spans="1:22" x14ac:dyDescent="0.25">
      <c r="A3" t="s">
        <v>65</v>
      </c>
      <c r="B3" t="s">
        <v>66</v>
      </c>
      <c r="C3" t="s">
        <v>67</v>
      </c>
      <c r="D3" t="s">
        <v>68</v>
      </c>
      <c r="E3" t="s">
        <v>69</v>
      </c>
      <c r="F3" s="6">
        <v>46092</v>
      </c>
      <c r="G3" s="6">
        <v>46167</v>
      </c>
      <c r="H3" s="7">
        <v>298500</v>
      </c>
      <c r="I3" s="7">
        <v>364200</v>
      </c>
      <c r="J3" t="s">
        <v>63</v>
      </c>
      <c r="K3" s="7"/>
      <c r="L3" s="8"/>
      <c r="M3" s="7"/>
      <c r="V3" s="4" t="s">
        <v>158</v>
      </c>
    </row>
    <row r="4" spans="1:22" x14ac:dyDescent="0.25">
      <c r="A4" t="s">
        <v>71</v>
      </c>
      <c r="B4" t="s">
        <v>72</v>
      </c>
      <c r="C4" t="s">
        <v>73</v>
      </c>
      <c r="D4" t="s">
        <v>74</v>
      </c>
      <c r="E4" t="s">
        <v>75</v>
      </c>
      <c r="F4" s="6">
        <v>46147</v>
      </c>
      <c r="G4" s="6">
        <v>46289</v>
      </c>
      <c r="H4" s="7">
        <v>448500</v>
      </c>
      <c r="I4" s="7">
        <v>408100</v>
      </c>
      <c r="J4" t="s">
        <v>63</v>
      </c>
      <c r="K4" s="7"/>
      <c r="L4" s="8"/>
      <c r="M4" s="7"/>
      <c r="S4" s="5" t="s">
        <v>159</v>
      </c>
      <c r="V4" s="4" t="s">
        <v>160</v>
      </c>
    </row>
    <row r="5" spans="1:22" x14ac:dyDescent="0.25">
      <c r="A5" t="s">
        <v>77</v>
      </c>
      <c r="B5" t="s">
        <v>78</v>
      </c>
      <c r="C5" t="s">
        <v>79</v>
      </c>
      <c r="D5" t="s">
        <v>80</v>
      </c>
      <c r="E5" t="s">
        <v>81</v>
      </c>
      <c r="F5" s="6">
        <v>46051</v>
      </c>
      <c r="G5" s="6">
        <v>46220</v>
      </c>
      <c r="H5" s="7">
        <v>59500</v>
      </c>
      <c r="I5" s="7"/>
      <c r="J5" t="s">
        <v>82</v>
      </c>
      <c r="K5" s="7"/>
      <c r="L5" s="8"/>
      <c r="M5" s="7"/>
      <c r="S5" t="s">
        <v>161</v>
      </c>
      <c r="T5" s="11"/>
      <c r="V5" s="4" t="s">
        <v>162</v>
      </c>
    </row>
    <row r="6" spans="1:22" x14ac:dyDescent="0.25">
      <c r="A6" t="s">
        <v>83</v>
      </c>
      <c r="B6" t="s">
        <v>84</v>
      </c>
      <c r="C6" t="s">
        <v>85</v>
      </c>
      <c r="D6" t="s">
        <v>86</v>
      </c>
      <c r="E6" t="s">
        <v>87</v>
      </c>
      <c r="F6" s="6">
        <v>46137</v>
      </c>
      <c r="G6" s="6">
        <v>46337</v>
      </c>
      <c r="H6" s="7">
        <v>435000</v>
      </c>
      <c r="I6" s="7">
        <v>295800</v>
      </c>
      <c r="J6" t="s">
        <v>88</v>
      </c>
      <c r="K6" s="7"/>
      <c r="L6" s="8"/>
      <c r="M6" s="7"/>
      <c r="S6" t="s">
        <v>163</v>
      </c>
      <c r="T6" s="11"/>
    </row>
    <row r="7" spans="1:22" x14ac:dyDescent="0.25">
      <c r="A7" t="s">
        <v>90</v>
      </c>
      <c r="B7" t="s">
        <v>91</v>
      </c>
      <c r="C7" t="s">
        <v>92</v>
      </c>
      <c r="D7" t="s">
        <v>61</v>
      </c>
      <c r="E7" t="s">
        <v>62</v>
      </c>
      <c r="F7" s="6">
        <v>46141</v>
      </c>
      <c r="G7" s="6">
        <v>46254</v>
      </c>
      <c r="H7" s="7">
        <v>414000</v>
      </c>
      <c r="I7" s="7">
        <v>376700</v>
      </c>
      <c r="J7" t="s">
        <v>93</v>
      </c>
      <c r="K7" s="7"/>
      <c r="L7" s="8"/>
      <c r="M7" s="7"/>
      <c r="S7" t="s">
        <v>164</v>
      </c>
      <c r="T7" s="12"/>
    </row>
    <row r="8" spans="1:22" x14ac:dyDescent="0.25">
      <c r="A8" t="s">
        <v>94</v>
      </c>
      <c r="B8" t="s">
        <v>95</v>
      </c>
      <c r="C8" t="s">
        <v>96</v>
      </c>
      <c r="D8" t="s">
        <v>68</v>
      </c>
      <c r="E8" t="s">
        <v>69</v>
      </c>
      <c r="F8" s="6">
        <v>46053</v>
      </c>
      <c r="G8" s="6">
        <v>46179</v>
      </c>
      <c r="H8" s="7">
        <v>60500</v>
      </c>
      <c r="I8" s="7">
        <v>41100</v>
      </c>
      <c r="J8" t="s">
        <v>63</v>
      </c>
      <c r="K8" s="7"/>
      <c r="L8" s="8"/>
      <c r="M8" s="7"/>
      <c r="S8" t="s">
        <v>165</v>
      </c>
      <c r="T8" s="12"/>
    </row>
    <row r="9" spans="1:22" x14ac:dyDescent="0.25">
      <c r="A9" t="s">
        <v>97</v>
      </c>
      <c r="B9" t="s">
        <v>98</v>
      </c>
      <c r="C9" t="s">
        <v>99</v>
      </c>
      <c r="D9" t="s">
        <v>74</v>
      </c>
      <c r="E9" t="s">
        <v>75</v>
      </c>
      <c r="F9" s="6">
        <v>46033</v>
      </c>
      <c r="G9" s="6">
        <v>46216</v>
      </c>
      <c r="H9" s="7">
        <v>49500</v>
      </c>
      <c r="I9" s="7">
        <v>54900</v>
      </c>
      <c r="J9" t="s">
        <v>63</v>
      </c>
      <c r="K9" s="7"/>
      <c r="L9" s="8"/>
      <c r="M9" s="7"/>
      <c r="S9" t="s">
        <v>166</v>
      </c>
      <c r="T9" s="11"/>
    </row>
    <row r="10" spans="1:22" x14ac:dyDescent="0.25">
      <c r="A10" t="s">
        <v>100</v>
      </c>
      <c r="B10" t="s">
        <v>101</v>
      </c>
      <c r="C10" t="s">
        <v>102</v>
      </c>
      <c r="D10" t="s">
        <v>80</v>
      </c>
      <c r="E10" t="s">
        <v>81</v>
      </c>
      <c r="F10" s="6">
        <v>46082</v>
      </c>
      <c r="G10" s="6">
        <v>46235</v>
      </c>
      <c r="H10" s="7">
        <v>416500</v>
      </c>
      <c r="I10" s="7">
        <v>283200</v>
      </c>
      <c r="J10" t="s">
        <v>63</v>
      </c>
      <c r="K10" s="7"/>
      <c r="L10" s="8"/>
      <c r="M10" s="7"/>
      <c r="S10" t="s">
        <v>167</v>
      </c>
      <c r="T10" s="11"/>
    </row>
    <row r="11" spans="1:22" x14ac:dyDescent="0.25">
      <c r="A11" t="s">
        <v>103</v>
      </c>
      <c r="B11" t="s">
        <v>104</v>
      </c>
      <c r="C11" t="s">
        <v>105</v>
      </c>
      <c r="D11" t="s">
        <v>86</v>
      </c>
      <c r="E11" t="s">
        <v>87</v>
      </c>
      <c r="F11" s="6">
        <v>46162</v>
      </c>
      <c r="G11" s="6">
        <v>46263</v>
      </c>
      <c r="H11" s="7">
        <v>436000</v>
      </c>
      <c r="I11" s="7"/>
      <c r="J11" t="s">
        <v>82</v>
      </c>
      <c r="K11" s="7"/>
      <c r="L11" s="8"/>
      <c r="M11" s="7"/>
      <c r="S11" t="s">
        <v>168</v>
      </c>
      <c r="T11" s="13"/>
    </row>
    <row r="12" spans="1:22" x14ac:dyDescent="0.25">
      <c r="A12" t="s">
        <v>106</v>
      </c>
      <c r="B12" t="s">
        <v>107</v>
      </c>
      <c r="C12" t="s">
        <v>60</v>
      </c>
      <c r="D12" t="s">
        <v>61</v>
      </c>
      <c r="E12" t="s">
        <v>62</v>
      </c>
      <c r="F12" s="6">
        <v>46153</v>
      </c>
      <c r="G12" s="6">
        <v>46339</v>
      </c>
      <c r="H12" s="7">
        <v>164000</v>
      </c>
      <c r="I12" s="7">
        <v>170600</v>
      </c>
      <c r="J12" t="s">
        <v>88</v>
      </c>
      <c r="K12" s="7"/>
      <c r="L12" s="8"/>
      <c r="M12" s="7"/>
    </row>
    <row r="13" spans="1:22" x14ac:dyDescent="0.25">
      <c r="A13" t="s">
        <v>108</v>
      </c>
      <c r="B13" t="s">
        <v>109</v>
      </c>
      <c r="C13" t="s">
        <v>67</v>
      </c>
      <c r="D13" t="s">
        <v>68</v>
      </c>
      <c r="E13" t="s">
        <v>69</v>
      </c>
      <c r="F13" s="6">
        <v>46086</v>
      </c>
      <c r="G13" s="6">
        <v>46187</v>
      </c>
      <c r="H13" s="7">
        <v>434500</v>
      </c>
      <c r="I13" s="7">
        <v>530100</v>
      </c>
      <c r="J13" t="s">
        <v>93</v>
      </c>
      <c r="K13" s="7"/>
      <c r="L13" s="8"/>
      <c r="M13" s="7"/>
    </row>
    <row r="14" spans="1:22" x14ac:dyDescent="0.25">
      <c r="A14" t="s">
        <v>110</v>
      </c>
      <c r="B14" t="s">
        <v>111</v>
      </c>
      <c r="C14" t="s">
        <v>73</v>
      </c>
      <c r="D14" t="s">
        <v>74</v>
      </c>
      <c r="E14" t="s">
        <v>75</v>
      </c>
      <c r="F14" s="6">
        <v>46101</v>
      </c>
      <c r="G14" s="6">
        <v>46151</v>
      </c>
      <c r="H14" s="7">
        <v>258000</v>
      </c>
      <c r="I14" s="7">
        <v>193500</v>
      </c>
      <c r="J14" t="s">
        <v>63</v>
      </c>
      <c r="K14" s="7"/>
      <c r="L14" s="8"/>
      <c r="M14" s="7"/>
    </row>
    <row r="15" spans="1:22" x14ac:dyDescent="0.25">
      <c r="A15" t="s">
        <v>112</v>
      </c>
      <c r="B15" t="s">
        <v>113</v>
      </c>
      <c r="C15" t="s">
        <v>79</v>
      </c>
      <c r="D15" t="s">
        <v>80</v>
      </c>
      <c r="E15" t="s">
        <v>81</v>
      </c>
      <c r="F15" s="6">
        <v>46074</v>
      </c>
      <c r="G15" s="6">
        <v>46280</v>
      </c>
      <c r="H15" s="7">
        <v>415500</v>
      </c>
      <c r="I15" s="7">
        <v>403000</v>
      </c>
      <c r="J15" t="s">
        <v>63</v>
      </c>
      <c r="K15" s="7"/>
      <c r="L15" s="8"/>
      <c r="M15" s="7"/>
    </row>
    <row r="16" spans="1:22" x14ac:dyDescent="0.25">
      <c r="A16" t="s">
        <v>114</v>
      </c>
      <c r="B16" t="s">
        <v>115</v>
      </c>
      <c r="C16" t="s">
        <v>85</v>
      </c>
      <c r="D16" t="s">
        <v>86</v>
      </c>
      <c r="E16" t="s">
        <v>87</v>
      </c>
      <c r="F16" s="6">
        <v>46057</v>
      </c>
      <c r="G16" s="6">
        <v>46187</v>
      </c>
      <c r="H16" s="7">
        <v>414000</v>
      </c>
      <c r="I16" s="7">
        <v>459500</v>
      </c>
      <c r="J16" t="s">
        <v>63</v>
      </c>
      <c r="K16" s="7"/>
      <c r="L16" s="8"/>
      <c r="M16" s="7"/>
    </row>
    <row r="17" spans="1:13" x14ac:dyDescent="0.25">
      <c r="A17" t="s">
        <v>116</v>
      </c>
      <c r="B17" t="s">
        <v>117</v>
      </c>
      <c r="C17" t="s">
        <v>92</v>
      </c>
      <c r="D17" t="s">
        <v>61</v>
      </c>
      <c r="E17" t="s">
        <v>62</v>
      </c>
      <c r="F17" s="6">
        <v>46156</v>
      </c>
      <c r="G17" s="6">
        <v>46249</v>
      </c>
      <c r="H17" s="7">
        <v>200000</v>
      </c>
      <c r="I17" s="7">
        <v>194000</v>
      </c>
      <c r="J17" t="s">
        <v>82</v>
      </c>
      <c r="K17" s="7"/>
      <c r="L17" s="8"/>
      <c r="M17" s="7"/>
    </row>
    <row r="18" spans="1:13" x14ac:dyDescent="0.25">
      <c r="A18" t="s">
        <v>118</v>
      </c>
      <c r="B18" t="s">
        <v>119</v>
      </c>
      <c r="C18" t="s">
        <v>96</v>
      </c>
      <c r="D18" t="s">
        <v>68</v>
      </c>
      <c r="E18" t="s">
        <v>69</v>
      </c>
      <c r="F18" s="6">
        <v>46154</v>
      </c>
      <c r="G18" s="6">
        <v>46328</v>
      </c>
      <c r="H18" s="7">
        <v>246000</v>
      </c>
      <c r="I18" s="7">
        <v>167300</v>
      </c>
      <c r="J18" t="s">
        <v>88</v>
      </c>
      <c r="K18" s="7"/>
      <c r="L18" s="8"/>
      <c r="M18" s="7"/>
    </row>
    <row r="19" spans="1:13" x14ac:dyDescent="0.25">
      <c r="A19" t="s">
        <v>120</v>
      </c>
      <c r="B19" t="s">
        <v>121</v>
      </c>
      <c r="C19" t="s">
        <v>99</v>
      </c>
      <c r="D19" t="s">
        <v>74</v>
      </c>
      <c r="E19" t="s">
        <v>75</v>
      </c>
      <c r="F19" s="6">
        <v>46149</v>
      </c>
      <c r="G19" s="6">
        <v>46256</v>
      </c>
      <c r="H19" s="7">
        <v>425500</v>
      </c>
      <c r="I19" s="7">
        <v>472300</v>
      </c>
      <c r="J19" t="s">
        <v>93</v>
      </c>
      <c r="K19" s="7"/>
      <c r="L19" s="8"/>
      <c r="M19" s="7"/>
    </row>
    <row r="20" spans="1:13" x14ac:dyDescent="0.25">
      <c r="A20" t="s">
        <v>122</v>
      </c>
      <c r="B20" t="s">
        <v>123</v>
      </c>
      <c r="C20" t="s">
        <v>102</v>
      </c>
      <c r="D20" t="s">
        <v>80</v>
      </c>
      <c r="E20" t="s">
        <v>81</v>
      </c>
      <c r="F20" s="6">
        <v>46133</v>
      </c>
      <c r="G20" s="6">
        <v>46222</v>
      </c>
      <c r="H20" s="7">
        <v>232500</v>
      </c>
      <c r="I20" s="7"/>
      <c r="J20" t="s">
        <v>63</v>
      </c>
      <c r="K20" s="7"/>
      <c r="L20" s="8"/>
      <c r="M20" s="7"/>
    </row>
    <row r="21" spans="1:13" x14ac:dyDescent="0.25">
      <c r="A21" t="s">
        <v>124</v>
      </c>
      <c r="B21" t="s">
        <v>125</v>
      </c>
      <c r="C21" t="s">
        <v>105</v>
      </c>
      <c r="D21" t="s">
        <v>86</v>
      </c>
      <c r="E21" t="s">
        <v>87</v>
      </c>
      <c r="F21" s="6">
        <v>46049</v>
      </c>
      <c r="G21" s="6">
        <v>46206</v>
      </c>
      <c r="H21" s="7">
        <v>384500</v>
      </c>
      <c r="I21" s="7">
        <v>288400</v>
      </c>
      <c r="J21" t="s">
        <v>63</v>
      </c>
      <c r="K21" s="7"/>
      <c r="L21" s="8"/>
      <c r="M21" s="7"/>
    </row>
    <row r="22" spans="1:13" x14ac:dyDescent="0.25">
      <c r="A22" t="s">
        <v>126</v>
      </c>
      <c r="B22" t="s">
        <v>127</v>
      </c>
      <c r="C22" t="s">
        <v>60</v>
      </c>
      <c r="D22" t="s">
        <v>61</v>
      </c>
      <c r="E22" t="s">
        <v>62</v>
      </c>
      <c r="F22" s="6">
        <v>46068</v>
      </c>
      <c r="G22" s="6">
        <v>46246</v>
      </c>
      <c r="H22" s="7">
        <v>475000</v>
      </c>
      <c r="I22" s="7">
        <v>527200</v>
      </c>
      <c r="J22" t="s">
        <v>63</v>
      </c>
      <c r="K22" s="7"/>
      <c r="L22" s="8"/>
      <c r="M22" s="7"/>
    </row>
    <row r="23" spans="1:13" x14ac:dyDescent="0.25">
      <c r="A23" t="s">
        <v>128</v>
      </c>
      <c r="B23" t="s">
        <v>129</v>
      </c>
      <c r="C23" t="s">
        <v>67</v>
      </c>
      <c r="D23" t="s">
        <v>68</v>
      </c>
      <c r="E23" t="s">
        <v>69</v>
      </c>
      <c r="F23" s="6">
        <v>46121</v>
      </c>
      <c r="G23" s="6">
        <v>46291</v>
      </c>
      <c r="H23" s="7">
        <v>420000</v>
      </c>
      <c r="I23" s="7">
        <v>285600</v>
      </c>
      <c r="J23" t="s">
        <v>82</v>
      </c>
      <c r="K23" s="7"/>
      <c r="L23" s="8"/>
      <c r="M23" s="7"/>
    </row>
    <row r="24" spans="1:13" x14ac:dyDescent="0.25">
      <c r="A24" t="s">
        <v>130</v>
      </c>
      <c r="B24" t="s">
        <v>131</v>
      </c>
      <c r="C24" t="s">
        <v>73</v>
      </c>
      <c r="D24" t="s">
        <v>74</v>
      </c>
      <c r="E24" t="s">
        <v>75</v>
      </c>
      <c r="F24" s="6">
        <v>46147</v>
      </c>
      <c r="G24" s="6">
        <v>46203</v>
      </c>
      <c r="H24" s="7">
        <v>202500</v>
      </c>
      <c r="I24" s="7">
        <v>224800</v>
      </c>
      <c r="J24" t="s">
        <v>88</v>
      </c>
      <c r="K24" s="7"/>
      <c r="L24" s="8"/>
      <c r="M24" s="7"/>
    </row>
    <row r="25" spans="1:13" x14ac:dyDescent="0.25">
      <c r="A25" t="s">
        <v>132</v>
      </c>
      <c r="B25" t="s">
        <v>133</v>
      </c>
      <c r="C25" t="s">
        <v>79</v>
      </c>
      <c r="D25" t="s">
        <v>80</v>
      </c>
      <c r="E25" t="s">
        <v>81</v>
      </c>
      <c r="F25" s="6">
        <v>46070</v>
      </c>
      <c r="G25" s="6">
        <v>46158</v>
      </c>
      <c r="H25" s="7">
        <v>302000</v>
      </c>
      <c r="I25" s="7">
        <v>274800</v>
      </c>
      <c r="J25" t="s">
        <v>93</v>
      </c>
      <c r="K25" s="7"/>
      <c r="L25" s="8"/>
      <c r="M25" s="7"/>
    </row>
    <row r="26" spans="1:13" x14ac:dyDescent="0.25">
      <c r="A26" t="s">
        <v>134</v>
      </c>
      <c r="B26" t="s">
        <v>135</v>
      </c>
      <c r="C26" t="s">
        <v>85</v>
      </c>
      <c r="D26" t="s">
        <v>86</v>
      </c>
      <c r="E26" t="s">
        <v>87</v>
      </c>
      <c r="F26" s="6">
        <v>46030</v>
      </c>
      <c r="G26" s="6">
        <v>46126</v>
      </c>
      <c r="H26" s="7">
        <v>321000</v>
      </c>
      <c r="I26" s="7">
        <v>292100</v>
      </c>
      <c r="J26" t="s">
        <v>63</v>
      </c>
      <c r="K26" s="7"/>
      <c r="L26" s="8"/>
      <c r="M26" s="7"/>
    </row>
    <row r="27" spans="1:13" x14ac:dyDescent="0.25">
      <c r="A27" t="s">
        <v>136</v>
      </c>
      <c r="B27" t="s">
        <v>59</v>
      </c>
      <c r="C27" t="s">
        <v>92</v>
      </c>
      <c r="D27" t="s">
        <v>61</v>
      </c>
      <c r="E27" t="s">
        <v>62</v>
      </c>
      <c r="F27" s="6">
        <v>46130</v>
      </c>
      <c r="G27" s="6">
        <v>46306</v>
      </c>
      <c r="H27" s="7">
        <v>221000</v>
      </c>
      <c r="I27" s="7">
        <v>229800</v>
      </c>
      <c r="J27" t="s">
        <v>63</v>
      </c>
      <c r="K27" s="7"/>
      <c r="L27" s="8"/>
      <c r="M27" s="7"/>
    </row>
    <row r="28" spans="1:13" x14ac:dyDescent="0.25">
      <c r="A28" t="s">
        <v>137</v>
      </c>
      <c r="B28" t="s">
        <v>66</v>
      </c>
      <c r="C28" t="s">
        <v>96</v>
      </c>
      <c r="D28" t="s">
        <v>68</v>
      </c>
      <c r="E28" t="s">
        <v>69</v>
      </c>
      <c r="F28" s="6">
        <v>46144</v>
      </c>
      <c r="G28" s="6">
        <v>46257</v>
      </c>
      <c r="H28" s="7">
        <v>382500</v>
      </c>
      <c r="I28" s="7">
        <v>260100</v>
      </c>
      <c r="J28" t="s">
        <v>63</v>
      </c>
      <c r="K28" s="7"/>
      <c r="L28" s="8"/>
      <c r="M28" s="7"/>
    </row>
    <row r="29" spans="1:13" x14ac:dyDescent="0.25">
      <c r="A29" t="s">
        <v>138</v>
      </c>
      <c r="B29" t="s">
        <v>72</v>
      </c>
      <c r="C29" t="s">
        <v>99</v>
      </c>
      <c r="D29" t="s">
        <v>74</v>
      </c>
      <c r="E29" t="s">
        <v>75</v>
      </c>
      <c r="F29" s="6">
        <v>46125</v>
      </c>
      <c r="G29" s="6">
        <v>46301</v>
      </c>
      <c r="H29" s="7">
        <v>459000</v>
      </c>
      <c r="I29" s="7"/>
      <c r="J29" t="s">
        <v>82</v>
      </c>
      <c r="K29" s="7"/>
      <c r="L29" s="8"/>
      <c r="M29" s="7"/>
    </row>
    <row r="30" spans="1:13" x14ac:dyDescent="0.25">
      <c r="A30" t="s">
        <v>139</v>
      </c>
      <c r="B30" t="s">
        <v>78</v>
      </c>
      <c r="C30" t="s">
        <v>102</v>
      </c>
      <c r="D30" t="s">
        <v>80</v>
      </c>
      <c r="E30" t="s">
        <v>81</v>
      </c>
      <c r="F30" s="6">
        <v>46159</v>
      </c>
      <c r="G30" s="6">
        <v>46347</v>
      </c>
      <c r="H30" s="7">
        <v>150000</v>
      </c>
      <c r="I30" s="7">
        <v>166500</v>
      </c>
      <c r="J30" t="s">
        <v>88</v>
      </c>
      <c r="K30" s="7"/>
      <c r="L30" s="8"/>
      <c r="M30" s="7"/>
    </row>
    <row r="31" spans="1:13" x14ac:dyDescent="0.25">
      <c r="A31" t="s">
        <v>140</v>
      </c>
      <c r="B31" t="s">
        <v>84</v>
      </c>
      <c r="C31" t="s">
        <v>105</v>
      </c>
      <c r="D31" t="s">
        <v>86</v>
      </c>
      <c r="E31" t="s">
        <v>87</v>
      </c>
      <c r="F31" s="6">
        <v>46041</v>
      </c>
      <c r="G31" s="6">
        <v>46209</v>
      </c>
      <c r="H31" s="7">
        <v>231500</v>
      </c>
      <c r="I31" s="7">
        <v>210700</v>
      </c>
      <c r="J31" t="s">
        <v>93</v>
      </c>
      <c r="K31" s="7"/>
      <c r="L31" s="8"/>
      <c r="M31" s="7"/>
    </row>
    <row r="32" spans="1:13" x14ac:dyDescent="0.25">
      <c r="A32" t="s">
        <v>141</v>
      </c>
      <c r="B32" t="s">
        <v>91</v>
      </c>
      <c r="C32" t="s">
        <v>60</v>
      </c>
      <c r="D32" t="s">
        <v>61</v>
      </c>
      <c r="E32" t="s">
        <v>62</v>
      </c>
      <c r="F32" s="6">
        <v>46156</v>
      </c>
      <c r="G32" s="6">
        <v>46306</v>
      </c>
      <c r="H32" s="7">
        <v>293000</v>
      </c>
      <c r="I32" s="7">
        <v>304700</v>
      </c>
      <c r="J32" t="s">
        <v>63</v>
      </c>
      <c r="K32" s="7"/>
      <c r="L32" s="8"/>
      <c r="M32" s="7"/>
    </row>
    <row r="33" spans="1:13" x14ac:dyDescent="0.25">
      <c r="A33" t="s">
        <v>142</v>
      </c>
      <c r="B33" t="s">
        <v>95</v>
      </c>
      <c r="C33" t="s">
        <v>67</v>
      </c>
      <c r="D33" t="s">
        <v>68</v>
      </c>
      <c r="E33" t="s">
        <v>69</v>
      </c>
      <c r="F33" s="6">
        <v>46133</v>
      </c>
      <c r="G33" s="6">
        <v>46266</v>
      </c>
      <c r="H33" s="7">
        <v>45500</v>
      </c>
      <c r="I33" s="7">
        <v>47300</v>
      </c>
      <c r="J33" t="s">
        <v>63</v>
      </c>
      <c r="K33" s="7"/>
      <c r="L33" s="8"/>
      <c r="M33" s="7"/>
    </row>
    <row r="34" spans="1:13" x14ac:dyDescent="0.25">
      <c r="A34" t="s">
        <v>118</v>
      </c>
      <c r="B34" t="s">
        <v>98</v>
      </c>
      <c r="C34" t="s">
        <v>73</v>
      </c>
      <c r="D34" t="s">
        <v>74</v>
      </c>
      <c r="E34" t="s">
        <v>75</v>
      </c>
      <c r="F34" s="6">
        <v>46144</v>
      </c>
      <c r="G34" s="6">
        <v>46342</v>
      </c>
      <c r="H34" s="7">
        <v>59000</v>
      </c>
      <c r="I34" s="7">
        <v>53700</v>
      </c>
      <c r="J34" t="s">
        <v>63</v>
      </c>
      <c r="K34" s="7"/>
      <c r="L34" s="8"/>
      <c r="M34" s="7"/>
    </row>
    <row r="35" spans="1:13" x14ac:dyDescent="0.25">
      <c r="A35" t="s">
        <v>143</v>
      </c>
      <c r="B35" t="s">
        <v>101</v>
      </c>
      <c r="C35" t="s">
        <v>79</v>
      </c>
      <c r="D35" t="s">
        <v>80</v>
      </c>
      <c r="E35" t="s">
        <v>81</v>
      </c>
      <c r="F35" s="6">
        <v>46072</v>
      </c>
      <c r="G35" s="6">
        <v>46257</v>
      </c>
      <c r="H35" s="7">
        <v>344000</v>
      </c>
      <c r="I35" s="7">
        <v>282100</v>
      </c>
      <c r="J35" t="s">
        <v>82</v>
      </c>
      <c r="K35" s="7"/>
      <c r="L35" s="8"/>
      <c r="M35" s="7"/>
    </row>
    <row r="36" spans="1:13" x14ac:dyDescent="0.25">
      <c r="A36" t="s">
        <v>144</v>
      </c>
      <c r="B36" t="s">
        <v>104</v>
      </c>
      <c r="C36" t="s">
        <v>85</v>
      </c>
      <c r="D36" t="s">
        <v>86</v>
      </c>
      <c r="E36" t="s">
        <v>87</v>
      </c>
      <c r="F36" s="6">
        <v>46050</v>
      </c>
      <c r="G36" s="6">
        <v>46236</v>
      </c>
      <c r="H36" s="7">
        <v>453000</v>
      </c>
      <c r="I36" s="7"/>
      <c r="J36" t="s">
        <v>88</v>
      </c>
      <c r="K36" s="7"/>
      <c r="L36" s="8"/>
      <c r="M36" s="7"/>
    </row>
    <row r="37" spans="1:13" x14ac:dyDescent="0.25">
      <c r="A37" t="s">
        <v>145</v>
      </c>
      <c r="B37" t="s">
        <v>107</v>
      </c>
      <c r="C37" t="s">
        <v>92</v>
      </c>
      <c r="D37" t="s">
        <v>61</v>
      </c>
      <c r="E37" t="s">
        <v>62</v>
      </c>
      <c r="F37" s="6">
        <v>46035</v>
      </c>
      <c r="G37" s="6">
        <v>46098</v>
      </c>
      <c r="H37" s="7">
        <v>87500</v>
      </c>
      <c r="I37" s="7">
        <v>59500</v>
      </c>
      <c r="J37" t="s">
        <v>93</v>
      </c>
      <c r="K37" s="7"/>
      <c r="L37" s="8"/>
      <c r="M37" s="7"/>
    </row>
    <row r="38" spans="1:13" x14ac:dyDescent="0.25">
      <c r="A38" t="s">
        <v>146</v>
      </c>
      <c r="B38" t="s">
        <v>147</v>
      </c>
      <c r="C38" t="s">
        <v>96</v>
      </c>
      <c r="D38" t="s">
        <v>68</v>
      </c>
      <c r="E38" t="s">
        <v>69</v>
      </c>
      <c r="F38" s="6">
        <v>46142</v>
      </c>
      <c r="G38" s="6">
        <v>46190</v>
      </c>
      <c r="H38" s="7">
        <v>431000</v>
      </c>
      <c r="I38" s="7">
        <v>418100</v>
      </c>
      <c r="J38" t="s">
        <v>63</v>
      </c>
      <c r="K38" s="7"/>
      <c r="L38" s="8"/>
      <c r="M38" s="7"/>
    </row>
    <row r="39" spans="1:13" x14ac:dyDescent="0.25">
      <c r="A39" t="s">
        <v>148</v>
      </c>
      <c r="B39" t="s">
        <v>111</v>
      </c>
      <c r="C39" t="s">
        <v>99</v>
      </c>
      <c r="D39" t="s">
        <v>74</v>
      </c>
      <c r="E39" t="s">
        <v>75</v>
      </c>
      <c r="F39" s="6">
        <v>46090</v>
      </c>
      <c r="G39" s="6">
        <v>46203</v>
      </c>
      <c r="H39" s="7">
        <v>101000</v>
      </c>
      <c r="I39" s="7">
        <v>82800</v>
      </c>
      <c r="J39" t="s">
        <v>63</v>
      </c>
      <c r="K39" s="7"/>
      <c r="L39" s="8"/>
      <c r="M39" s="7"/>
    </row>
    <row r="40" spans="1:13" x14ac:dyDescent="0.25">
      <c r="A40" t="s">
        <v>149</v>
      </c>
      <c r="B40" t="s">
        <v>113</v>
      </c>
      <c r="C40" t="s">
        <v>102</v>
      </c>
      <c r="D40" t="s">
        <v>80</v>
      </c>
      <c r="E40" t="s">
        <v>81</v>
      </c>
      <c r="F40" s="6">
        <v>46115</v>
      </c>
      <c r="G40" s="6">
        <v>46234</v>
      </c>
      <c r="H40" s="7">
        <v>80500</v>
      </c>
      <c r="I40" s="7">
        <v>66000</v>
      </c>
      <c r="J40" t="s">
        <v>63</v>
      </c>
      <c r="K40" s="7"/>
      <c r="L40" s="8"/>
      <c r="M40" s="7"/>
    </row>
    <row r="41" spans="1:13" x14ac:dyDescent="0.25">
      <c r="A41" t="s">
        <v>150</v>
      </c>
      <c r="B41" t="s">
        <v>115</v>
      </c>
      <c r="C41" t="s">
        <v>105</v>
      </c>
      <c r="D41" t="s">
        <v>86</v>
      </c>
      <c r="E41" t="s">
        <v>87</v>
      </c>
      <c r="F41" s="6">
        <v>46067</v>
      </c>
      <c r="G41" s="6">
        <v>46177</v>
      </c>
      <c r="H41" s="7">
        <v>315000</v>
      </c>
      <c r="I41" s="7"/>
      <c r="J41" t="s">
        <v>82</v>
      </c>
      <c r="K41" s="7"/>
      <c r="L41" s="8"/>
      <c r="M41" s="7"/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2" width="11" customWidth="1"/>
    <col min="3" max="3" width="26" customWidth="1"/>
    <col min="4" max="4" width="17" customWidth="1"/>
    <col min="5" max="5" width="16" customWidth="1"/>
    <col min="6" max="8" width="12" customWidth="1"/>
    <col min="9" max="9" width="13" customWidth="1"/>
    <col min="10" max="10" width="11" customWidth="1"/>
    <col min="11" max="12" width="12" customWidth="1"/>
    <col min="13" max="13" width="18" customWidth="1"/>
    <col min="18" max="18" width="2" customWidth="1"/>
    <col min="19" max="19" width="22" customWidth="1"/>
    <col min="20" max="20" width="14" customWidth="1"/>
    <col min="22" max="22" width="2" customWidth="1"/>
    <col min="24" max="24" width="11" customWidth="1"/>
    <col min="25" max="25" width="24" customWidth="1"/>
    <col min="26" max="26" width="18" customWidth="1"/>
    <col min="27" max="27" width="16" customWidth="1"/>
    <col min="28" max="28" width="12" customWidth="1"/>
    <col min="29" max="29" width="20" customWidth="1"/>
    <col min="30" max="31" width="2" customWidth="1"/>
    <col min="32" max="32" width="70" customWidth="1"/>
  </cols>
  <sheetData>
    <row r="1" spans="1:32" ht="18.75" x14ac:dyDescent="0.25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151</v>
      </c>
      <c r="L1" t="s">
        <v>152</v>
      </c>
      <c r="M1" t="s">
        <v>153</v>
      </c>
      <c r="S1" s="5" t="s">
        <v>154</v>
      </c>
      <c r="X1" t="s">
        <v>48</v>
      </c>
      <c r="Y1" t="s">
        <v>169</v>
      </c>
      <c r="Z1" t="s">
        <v>170</v>
      </c>
      <c r="AA1" t="s">
        <v>171</v>
      </c>
      <c r="AB1" t="s">
        <v>172</v>
      </c>
      <c r="AC1" t="s">
        <v>173</v>
      </c>
      <c r="AF1" s="14" t="s">
        <v>174</v>
      </c>
    </row>
    <row r="2" spans="1:32" x14ac:dyDescent="0.25">
      <c r="A2" t="s">
        <v>58</v>
      </c>
      <c r="B2" t="s">
        <v>59</v>
      </c>
      <c r="C2" t="s">
        <v>60</v>
      </c>
      <c r="D2" t="s">
        <v>61</v>
      </c>
      <c r="E2" t="s">
        <v>62</v>
      </c>
      <c r="F2" s="6">
        <v>46061</v>
      </c>
      <c r="G2" s="6">
        <v>46251</v>
      </c>
      <c r="H2" s="7">
        <v>478500</v>
      </c>
      <c r="I2" s="7">
        <v>358900</v>
      </c>
      <c r="J2" t="s">
        <v>63</v>
      </c>
      <c r="K2" s="7">
        <f t="shared" ref="K2:K41" si="0">H2-I2</f>
        <v>119600</v>
      </c>
      <c r="L2" s="8">
        <f t="shared" ref="L2:L41" si="1">K2/H2</f>
        <v>0.24994775339602926</v>
      </c>
      <c r="M2" s="7">
        <f t="shared" ref="M2:M41" si="2">H2*(1+$T$2)</f>
        <v>514387.5</v>
      </c>
      <c r="S2" s="9" t="s">
        <v>156</v>
      </c>
      <c r="T2" s="10">
        <v>7.4999999999999997E-2</v>
      </c>
      <c r="X2" t="s">
        <v>59</v>
      </c>
      <c r="Y2" t="s">
        <v>175</v>
      </c>
      <c r="Z2" t="s">
        <v>176</v>
      </c>
      <c r="AA2" t="s">
        <v>177</v>
      </c>
      <c r="AB2" t="s">
        <v>178</v>
      </c>
      <c r="AC2" t="s">
        <v>179</v>
      </c>
      <c r="AF2" s="15" t="s">
        <v>180</v>
      </c>
    </row>
    <row r="3" spans="1:32" x14ac:dyDescent="0.25">
      <c r="A3" t="s">
        <v>65</v>
      </c>
      <c r="B3" t="s">
        <v>66</v>
      </c>
      <c r="C3" t="s">
        <v>67</v>
      </c>
      <c r="D3" t="s">
        <v>68</v>
      </c>
      <c r="E3" t="s">
        <v>69</v>
      </c>
      <c r="F3" s="6">
        <v>46092</v>
      </c>
      <c r="G3" s="6">
        <v>46167</v>
      </c>
      <c r="H3" s="7">
        <v>298500</v>
      </c>
      <c r="I3" s="7">
        <v>364200</v>
      </c>
      <c r="J3" t="s">
        <v>63</v>
      </c>
      <c r="K3" s="7">
        <f t="shared" si="0"/>
        <v>-65700</v>
      </c>
      <c r="L3" s="8">
        <f t="shared" si="1"/>
        <v>-0.2201005025125628</v>
      </c>
      <c r="M3" s="7">
        <f t="shared" si="2"/>
        <v>320887.5</v>
      </c>
      <c r="X3" t="s">
        <v>121</v>
      </c>
      <c r="Y3" t="s">
        <v>181</v>
      </c>
      <c r="Z3" t="s">
        <v>182</v>
      </c>
      <c r="AA3" t="s">
        <v>183</v>
      </c>
      <c r="AB3" t="s">
        <v>178</v>
      </c>
      <c r="AC3" t="s">
        <v>184</v>
      </c>
      <c r="AF3" s="15" t="s">
        <v>185</v>
      </c>
    </row>
    <row r="4" spans="1:32" x14ac:dyDescent="0.25">
      <c r="A4" t="s">
        <v>71</v>
      </c>
      <c r="B4" t="s">
        <v>72</v>
      </c>
      <c r="C4" t="s">
        <v>73</v>
      </c>
      <c r="D4" t="s">
        <v>74</v>
      </c>
      <c r="E4" t="s">
        <v>75</v>
      </c>
      <c r="F4" s="6">
        <v>46147</v>
      </c>
      <c r="G4" s="6">
        <v>46289</v>
      </c>
      <c r="H4" s="7">
        <v>448500</v>
      </c>
      <c r="I4" s="7">
        <v>408100</v>
      </c>
      <c r="J4" t="s">
        <v>63</v>
      </c>
      <c r="K4" s="7">
        <f t="shared" si="0"/>
        <v>40400</v>
      </c>
      <c r="L4" s="8">
        <f t="shared" si="1"/>
        <v>9.0078037904124858E-2</v>
      </c>
      <c r="M4" s="7">
        <f t="shared" si="2"/>
        <v>482137.5</v>
      </c>
      <c r="S4" s="5" t="s">
        <v>159</v>
      </c>
      <c r="X4" t="s">
        <v>104</v>
      </c>
      <c r="Y4" t="s">
        <v>186</v>
      </c>
      <c r="Z4" t="s">
        <v>187</v>
      </c>
      <c r="AA4" t="s">
        <v>188</v>
      </c>
      <c r="AB4" t="s">
        <v>189</v>
      </c>
      <c r="AC4" t="s">
        <v>190</v>
      </c>
      <c r="AF4" s="15" t="s">
        <v>191</v>
      </c>
    </row>
    <row r="5" spans="1:32" x14ac:dyDescent="0.25">
      <c r="A5" t="s">
        <v>77</v>
      </c>
      <c r="B5" t="s">
        <v>78</v>
      </c>
      <c r="C5" t="s">
        <v>79</v>
      </c>
      <c r="D5" t="s">
        <v>80</v>
      </c>
      <c r="E5" t="s">
        <v>81</v>
      </c>
      <c r="F5" s="6">
        <v>46051</v>
      </c>
      <c r="G5" s="6">
        <v>46220</v>
      </c>
      <c r="H5" s="7">
        <v>59500</v>
      </c>
      <c r="I5" s="7"/>
      <c r="J5" t="s">
        <v>82</v>
      </c>
      <c r="K5" s="7">
        <f t="shared" si="0"/>
        <v>59500</v>
      </c>
      <c r="L5" s="8">
        <f t="shared" si="1"/>
        <v>1</v>
      </c>
      <c r="M5" s="7">
        <f t="shared" si="2"/>
        <v>63962.5</v>
      </c>
      <c r="S5" t="s">
        <v>161</v>
      </c>
      <c r="T5" s="11">
        <f>SUM(tblEng03[budget])</f>
        <v>11645000</v>
      </c>
      <c r="X5" t="s">
        <v>66</v>
      </c>
      <c r="Y5" t="s">
        <v>192</v>
      </c>
      <c r="Z5" t="s">
        <v>193</v>
      </c>
      <c r="AA5" t="s">
        <v>194</v>
      </c>
      <c r="AB5" t="s">
        <v>178</v>
      </c>
      <c r="AC5" t="s">
        <v>195</v>
      </c>
    </row>
    <row r="6" spans="1:32" x14ac:dyDescent="0.25">
      <c r="A6" t="s">
        <v>83</v>
      </c>
      <c r="B6" t="s">
        <v>84</v>
      </c>
      <c r="C6" t="s">
        <v>85</v>
      </c>
      <c r="D6" t="s">
        <v>86</v>
      </c>
      <c r="E6" t="s">
        <v>87</v>
      </c>
      <c r="F6" s="6">
        <v>46137</v>
      </c>
      <c r="G6" s="6">
        <v>46337</v>
      </c>
      <c r="H6" s="7">
        <v>435000</v>
      </c>
      <c r="I6" s="7">
        <v>295800</v>
      </c>
      <c r="J6" t="s">
        <v>88</v>
      </c>
      <c r="K6" s="7">
        <f t="shared" si="0"/>
        <v>139200</v>
      </c>
      <c r="L6" s="8">
        <f t="shared" si="1"/>
        <v>0.32</v>
      </c>
      <c r="M6" s="7">
        <f t="shared" si="2"/>
        <v>467625</v>
      </c>
      <c r="S6" t="s">
        <v>163</v>
      </c>
      <c r="T6" s="11">
        <f>SUM(tblEng03[actual_cost])</f>
        <v>8847400</v>
      </c>
      <c r="X6" t="s">
        <v>123</v>
      </c>
      <c r="Y6" t="s">
        <v>196</v>
      </c>
      <c r="Z6" t="s">
        <v>197</v>
      </c>
      <c r="AA6" t="s">
        <v>198</v>
      </c>
      <c r="AB6" t="s">
        <v>199</v>
      </c>
      <c r="AC6" t="s">
        <v>200</v>
      </c>
    </row>
    <row r="7" spans="1:32" x14ac:dyDescent="0.25">
      <c r="A7" t="s">
        <v>90</v>
      </c>
      <c r="B7" t="s">
        <v>91</v>
      </c>
      <c r="C7" t="s">
        <v>92</v>
      </c>
      <c r="D7" t="s">
        <v>61</v>
      </c>
      <c r="E7" t="s">
        <v>62</v>
      </c>
      <c r="F7" s="6">
        <v>46141</v>
      </c>
      <c r="G7" s="6">
        <v>46254</v>
      </c>
      <c r="H7" s="7">
        <v>414000</v>
      </c>
      <c r="I7" s="7">
        <v>376700</v>
      </c>
      <c r="J7" t="s">
        <v>93</v>
      </c>
      <c r="K7" s="7">
        <f t="shared" si="0"/>
        <v>37300</v>
      </c>
      <c r="L7" s="8">
        <f t="shared" si="1"/>
        <v>9.0096618357487918E-2</v>
      </c>
      <c r="M7" s="7">
        <f t="shared" si="2"/>
        <v>445050</v>
      </c>
      <c r="S7" t="s">
        <v>164</v>
      </c>
      <c r="T7" s="12">
        <f>COUNTA(tblEng03[engagement_id])</f>
        <v>40</v>
      </c>
      <c r="X7" t="s">
        <v>107</v>
      </c>
      <c r="Y7" t="s">
        <v>201</v>
      </c>
      <c r="Z7" t="s">
        <v>202</v>
      </c>
      <c r="AA7" t="s">
        <v>203</v>
      </c>
      <c r="AB7" t="s">
        <v>178</v>
      </c>
      <c r="AC7" t="s">
        <v>179</v>
      </c>
    </row>
    <row r="8" spans="1:32" x14ac:dyDescent="0.25">
      <c r="A8" t="s">
        <v>94</v>
      </c>
      <c r="B8" t="s">
        <v>95</v>
      </c>
      <c r="C8" t="s">
        <v>96</v>
      </c>
      <c r="D8" t="s">
        <v>68</v>
      </c>
      <c r="E8" t="s">
        <v>69</v>
      </c>
      <c r="F8" s="6">
        <v>46053</v>
      </c>
      <c r="G8" s="6">
        <v>46179</v>
      </c>
      <c r="H8" s="7">
        <v>60500</v>
      </c>
      <c r="I8" s="7">
        <v>41100</v>
      </c>
      <c r="J8" t="s">
        <v>63</v>
      </c>
      <c r="K8" s="7">
        <f t="shared" si="0"/>
        <v>19400</v>
      </c>
      <c r="L8" s="8">
        <f t="shared" si="1"/>
        <v>0.32066115702479336</v>
      </c>
      <c r="M8" s="7">
        <f t="shared" si="2"/>
        <v>65037.5</v>
      </c>
      <c r="S8" t="s">
        <v>165</v>
      </c>
      <c r="T8" s="12">
        <f>COUNT(tblEng03[actual_cost])</f>
        <v>34</v>
      </c>
      <c r="X8" t="s">
        <v>72</v>
      </c>
      <c r="Y8" t="s">
        <v>204</v>
      </c>
      <c r="Z8" t="s">
        <v>205</v>
      </c>
      <c r="AA8" t="s">
        <v>206</v>
      </c>
      <c r="AB8" t="s">
        <v>189</v>
      </c>
      <c r="AC8" t="s">
        <v>184</v>
      </c>
    </row>
    <row r="9" spans="1:32" x14ac:dyDescent="0.25">
      <c r="A9" t="s">
        <v>97</v>
      </c>
      <c r="B9" t="s">
        <v>98</v>
      </c>
      <c r="C9" t="s">
        <v>99</v>
      </c>
      <c r="D9" t="s">
        <v>74</v>
      </c>
      <c r="E9" t="s">
        <v>75</v>
      </c>
      <c r="F9" s="6">
        <v>46033</v>
      </c>
      <c r="G9" s="6">
        <v>46216</v>
      </c>
      <c r="H9" s="7">
        <v>49500</v>
      </c>
      <c r="I9" s="7">
        <v>54900</v>
      </c>
      <c r="J9" t="s">
        <v>63</v>
      </c>
      <c r="K9" s="7">
        <f t="shared" si="0"/>
        <v>-5400</v>
      </c>
      <c r="L9" s="8">
        <f t="shared" si="1"/>
        <v>-0.10909090909090909</v>
      </c>
      <c r="M9" s="7">
        <f t="shared" si="2"/>
        <v>53212.5</v>
      </c>
      <c r="S9" t="s">
        <v>166</v>
      </c>
      <c r="T9" s="11">
        <f>AVERAGE(tblEng03[budget])</f>
        <v>291125</v>
      </c>
      <c r="X9" t="s">
        <v>125</v>
      </c>
      <c r="Y9" t="s">
        <v>207</v>
      </c>
      <c r="Z9" t="s">
        <v>208</v>
      </c>
      <c r="AA9" t="s">
        <v>209</v>
      </c>
      <c r="AB9" t="s">
        <v>178</v>
      </c>
      <c r="AC9" t="s">
        <v>190</v>
      </c>
    </row>
    <row r="10" spans="1:32" x14ac:dyDescent="0.25">
      <c r="A10" t="s">
        <v>100</v>
      </c>
      <c r="B10" t="s">
        <v>101</v>
      </c>
      <c r="C10" t="s">
        <v>102</v>
      </c>
      <c r="D10" t="s">
        <v>80</v>
      </c>
      <c r="E10" t="s">
        <v>81</v>
      </c>
      <c r="F10" s="6">
        <v>46082</v>
      </c>
      <c r="G10" s="6">
        <v>46235</v>
      </c>
      <c r="H10" s="7">
        <v>416500</v>
      </c>
      <c r="I10" s="7">
        <v>283200</v>
      </c>
      <c r="J10" t="s">
        <v>63</v>
      </c>
      <c r="K10" s="7">
        <f t="shared" si="0"/>
        <v>133300</v>
      </c>
      <c r="L10" s="8">
        <f t="shared" si="1"/>
        <v>0.32004801920768305</v>
      </c>
      <c r="M10" s="7">
        <f t="shared" si="2"/>
        <v>447737.5</v>
      </c>
      <c r="S10" t="s">
        <v>167</v>
      </c>
      <c r="T10" s="11">
        <f>SUM(tblEng03[variance])</f>
        <v>2797600</v>
      </c>
      <c r="X10" t="s">
        <v>147</v>
      </c>
      <c r="Y10" t="s">
        <v>210</v>
      </c>
      <c r="Z10" t="s">
        <v>211</v>
      </c>
      <c r="AA10" t="s">
        <v>177</v>
      </c>
      <c r="AB10" t="s">
        <v>178</v>
      </c>
      <c r="AC10" t="s">
        <v>195</v>
      </c>
    </row>
    <row r="11" spans="1:32" x14ac:dyDescent="0.25">
      <c r="A11" t="s">
        <v>103</v>
      </c>
      <c r="B11" t="s">
        <v>104</v>
      </c>
      <c r="C11" t="s">
        <v>105</v>
      </c>
      <c r="D11" t="s">
        <v>86</v>
      </c>
      <c r="E11" t="s">
        <v>87</v>
      </c>
      <c r="F11" s="6">
        <v>46162</v>
      </c>
      <c r="G11" s="6">
        <v>46263</v>
      </c>
      <c r="H11" s="7">
        <v>436000</v>
      </c>
      <c r="I11" s="7"/>
      <c r="J11" t="s">
        <v>82</v>
      </c>
      <c r="K11" s="7">
        <f t="shared" si="0"/>
        <v>436000</v>
      </c>
      <c r="L11" s="8">
        <f t="shared" si="1"/>
        <v>1</v>
      </c>
      <c r="M11" s="7">
        <f t="shared" si="2"/>
        <v>468700</v>
      </c>
      <c r="S11" t="s">
        <v>168</v>
      </c>
      <c r="T11" s="13">
        <f>T10/T5</f>
        <v>0.24024044654358093</v>
      </c>
      <c r="X11" t="s">
        <v>78</v>
      </c>
      <c r="Y11" t="s">
        <v>212</v>
      </c>
      <c r="Z11" t="s">
        <v>213</v>
      </c>
      <c r="AA11" t="s">
        <v>183</v>
      </c>
      <c r="AB11" t="s">
        <v>189</v>
      </c>
      <c r="AC11" t="s">
        <v>200</v>
      </c>
    </row>
    <row r="12" spans="1:32" x14ac:dyDescent="0.25">
      <c r="A12" t="s">
        <v>106</v>
      </c>
      <c r="B12" t="s">
        <v>107</v>
      </c>
      <c r="C12" t="s">
        <v>60</v>
      </c>
      <c r="D12" t="s">
        <v>61</v>
      </c>
      <c r="E12" t="s">
        <v>62</v>
      </c>
      <c r="F12" s="6">
        <v>46153</v>
      </c>
      <c r="G12" s="6">
        <v>46339</v>
      </c>
      <c r="H12" s="7">
        <v>164000</v>
      </c>
      <c r="I12" s="7">
        <v>170600</v>
      </c>
      <c r="J12" t="s">
        <v>88</v>
      </c>
      <c r="K12" s="7">
        <f t="shared" si="0"/>
        <v>-6600</v>
      </c>
      <c r="L12" s="8">
        <f t="shared" si="1"/>
        <v>-4.0243902439024391E-2</v>
      </c>
      <c r="M12" s="7">
        <f t="shared" si="2"/>
        <v>176300</v>
      </c>
      <c r="X12" t="s">
        <v>127</v>
      </c>
      <c r="Y12" t="s">
        <v>214</v>
      </c>
      <c r="Z12" t="s">
        <v>176</v>
      </c>
      <c r="AA12" t="s">
        <v>188</v>
      </c>
      <c r="AB12" t="s">
        <v>178</v>
      </c>
      <c r="AC12" t="s">
        <v>179</v>
      </c>
    </row>
    <row r="13" spans="1:32" x14ac:dyDescent="0.25">
      <c r="A13" t="s">
        <v>108</v>
      </c>
      <c r="B13" t="s">
        <v>109</v>
      </c>
      <c r="C13" t="s">
        <v>67</v>
      </c>
      <c r="D13" t="s">
        <v>68</v>
      </c>
      <c r="E13" t="s">
        <v>69</v>
      </c>
      <c r="F13" s="6">
        <v>46086</v>
      </c>
      <c r="G13" s="6">
        <v>46187</v>
      </c>
      <c r="H13" s="7">
        <v>434500</v>
      </c>
      <c r="I13" s="7">
        <v>530100</v>
      </c>
      <c r="J13" t="s">
        <v>93</v>
      </c>
      <c r="K13" s="7">
        <f t="shared" si="0"/>
        <v>-95600</v>
      </c>
      <c r="L13" s="8">
        <f t="shared" si="1"/>
        <v>-0.22002301495972382</v>
      </c>
      <c r="M13" s="7">
        <f t="shared" si="2"/>
        <v>467087.5</v>
      </c>
      <c r="X13" t="s">
        <v>111</v>
      </c>
      <c r="Y13" t="s">
        <v>215</v>
      </c>
      <c r="Z13" t="s">
        <v>182</v>
      </c>
      <c r="AA13" t="s">
        <v>194</v>
      </c>
      <c r="AB13" t="s">
        <v>199</v>
      </c>
      <c r="AC13" t="s">
        <v>184</v>
      </c>
    </row>
    <row r="14" spans="1:32" x14ac:dyDescent="0.25">
      <c r="A14" t="s">
        <v>110</v>
      </c>
      <c r="B14" t="s">
        <v>111</v>
      </c>
      <c r="C14" t="s">
        <v>73</v>
      </c>
      <c r="D14" t="s">
        <v>74</v>
      </c>
      <c r="E14" t="s">
        <v>75</v>
      </c>
      <c r="F14" s="6">
        <v>46101</v>
      </c>
      <c r="G14" s="6">
        <v>46151</v>
      </c>
      <c r="H14" s="7">
        <v>258000</v>
      </c>
      <c r="I14" s="7">
        <v>193500</v>
      </c>
      <c r="J14" t="s">
        <v>63</v>
      </c>
      <c r="K14" s="7">
        <f t="shared" si="0"/>
        <v>64500</v>
      </c>
      <c r="L14" s="8">
        <f t="shared" si="1"/>
        <v>0.25</v>
      </c>
      <c r="M14" s="7">
        <f t="shared" si="2"/>
        <v>277350</v>
      </c>
      <c r="X14" t="s">
        <v>84</v>
      </c>
      <c r="Y14" t="s">
        <v>216</v>
      </c>
      <c r="Z14" t="s">
        <v>187</v>
      </c>
      <c r="AA14" t="s">
        <v>198</v>
      </c>
      <c r="AB14" t="s">
        <v>178</v>
      </c>
      <c r="AC14" t="s">
        <v>190</v>
      </c>
    </row>
    <row r="15" spans="1:32" x14ac:dyDescent="0.25">
      <c r="A15" t="s">
        <v>112</v>
      </c>
      <c r="B15" t="s">
        <v>113</v>
      </c>
      <c r="C15" t="s">
        <v>79</v>
      </c>
      <c r="D15" t="s">
        <v>80</v>
      </c>
      <c r="E15" t="s">
        <v>81</v>
      </c>
      <c r="F15" s="6">
        <v>46074</v>
      </c>
      <c r="G15" s="6">
        <v>46280</v>
      </c>
      <c r="H15" s="7">
        <v>415500</v>
      </c>
      <c r="I15" s="7">
        <v>403000</v>
      </c>
      <c r="J15" t="s">
        <v>63</v>
      </c>
      <c r="K15" s="7">
        <f t="shared" si="0"/>
        <v>12500</v>
      </c>
      <c r="L15" s="8">
        <f t="shared" si="1"/>
        <v>3.0084235860409144E-2</v>
      </c>
      <c r="M15" s="7">
        <f t="shared" si="2"/>
        <v>446662.5</v>
      </c>
      <c r="X15" t="s">
        <v>129</v>
      </c>
      <c r="Y15" t="s">
        <v>217</v>
      </c>
      <c r="Z15" t="s">
        <v>193</v>
      </c>
      <c r="AA15" t="s">
        <v>203</v>
      </c>
      <c r="AB15" t="s">
        <v>189</v>
      </c>
      <c r="AC15" t="s">
        <v>195</v>
      </c>
    </row>
    <row r="16" spans="1:32" x14ac:dyDescent="0.25">
      <c r="A16" t="s">
        <v>114</v>
      </c>
      <c r="B16" t="s">
        <v>115</v>
      </c>
      <c r="C16" t="s">
        <v>85</v>
      </c>
      <c r="D16" t="s">
        <v>86</v>
      </c>
      <c r="E16" t="s">
        <v>87</v>
      </c>
      <c r="F16" s="6">
        <v>46057</v>
      </c>
      <c r="G16" s="6">
        <v>46187</v>
      </c>
      <c r="H16" s="7">
        <v>414000</v>
      </c>
      <c r="I16" s="7">
        <v>459500</v>
      </c>
      <c r="J16" t="s">
        <v>63</v>
      </c>
      <c r="K16" s="7">
        <f t="shared" si="0"/>
        <v>-45500</v>
      </c>
      <c r="L16" s="8">
        <f t="shared" si="1"/>
        <v>-0.10990338164251208</v>
      </c>
      <c r="M16" s="7">
        <f t="shared" si="2"/>
        <v>445050</v>
      </c>
      <c r="X16" t="s">
        <v>113</v>
      </c>
      <c r="Y16" t="s">
        <v>218</v>
      </c>
      <c r="Z16" t="s">
        <v>197</v>
      </c>
      <c r="AA16" t="s">
        <v>206</v>
      </c>
      <c r="AB16" t="s">
        <v>178</v>
      </c>
      <c r="AC16" t="s">
        <v>200</v>
      </c>
    </row>
    <row r="17" spans="1:29" x14ac:dyDescent="0.25">
      <c r="A17" t="s">
        <v>116</v>
      </c>
      <c r="B17" t="s">
        <v>117</v>
      </c>
      <c r="C17" t="s">
        <v>92</v>
      </c>
      <c r="D17" t="s">
        <v>61</v>
      </c>
      <c r="E17" t="s">
        <v>62</v>
      </c>
      <c r="F17" s="6">
        <v>46156</v>
      </c>
      <c r="G17" s="6">
        <v>46249</v>
      </c>
      <c r="H17" s="7">
        <v>200000</v>
      </c>
      <c r="I17" s="7">
        <v>194000</v>
      </c>
      <c r="J17" t="s">
        <v>82</v>
      </c>
      <c r="K17" s="7">
        <f t="shared" si="0"/>
        <v>6000</v>
      </c>
      <c r="L17" s="8">
        <f t="shared" si="1"/>
        <v>0.03</v>
      </c>
      <c r="M17" s="7">
        <f t="shared" si="2"/>
        <v>215000</v>
      </c>
      <c r="X17" t="s">
        <v>91</v>
      </c>
      <c r="Y17" t="s">
        <v>219</v>
      </c>
      <c r="Z17" t="s">
        <v>202</v>
      </c>
      <c r="AA17" t="s">
        <v>209</v>
      </c>
      <c r="AB17" t="s">
        <v>178</v>
      </c>
      <c r="AC17" t="s">
        <v>179</v>
      </c>
    </row>
    <row r="18" spans="1:29" x14ac:dyDescent="0.25">
      <c r="A18" t="s">
        <v>118</v>
      </c>
      <c r="B18" t="s">
        <v>119</v>
      </c>
      <c r="C18" t="s">
        <v>96</v>
      </c>
      <c r="D18" t="s">
        <v>68</v>
      </c>
      <c r="E18" t="s">
        <v>69</v>
      </c>
      <c r="F18" s="6">
        <v>46154</v>
      </c>
      <c r="G18" s="6">
        <v>46328</v>
      </c>
      <c r="H18" s="7">
        <v>246000</v>
      </c>
      <c r="I18" s="7">
        <v>167300</v>
      </c>
      <c r="J18" t="s">
        <v>88</v>
      </c>
      <c r="K18" s="7">
        <f t="shared" si="0"/>
        <v>78700</v>
      </c>
      <c r="L18" s="8">
        <f t="shared" si="1"/>
        <v>0.3199186991869919</v>
      </c>
      <c r="M18" s="7">
        <f t="shared" si="2"/>
        <v>264450</v>
      </c>
      <c r="X18" t="s">
        <v>131</v>
      </c>
      <c r="Y18" t="s">
        <v>220</v>
      </c>
      <c r="Z18" t="s">
        <v>205</v>
      </c>
      <c r="AA18" t="s">
        <v>177</v>
      </c>
      <c r="AB18" t="s">
        <v>199</v>
      </c>
      <c r="AC18" t="s">
        <v>184</v>
      </c>
    </row>
    <row r="19" spans="1:29" x14ac:dyDescent="0.25">
      <c r="A19" t="s">
        <v>120</v>
      </c>
      <c r="B19" t="s">
        <v>121</v>
      </c>
      <c r="C19" t="s">
        <v>99</v>
      </c>
      <c r="D19" t="s">
        <v>74</v>
      </c>
      <c r="E19" t="s">
        <v>75</v>
      </c>
      <c r="F19" s="6">
        <v>46149</v>
      </c>
      <c r="G19" s="6">
        <v>46256</v>
      </c>
      <c r="H19" s="7">
        <v>425500</v>
      </c>
      <c r="I19" s="7">
        <v>472300</v>
      </c>
      <c r="J19" t="s">
        <v>93</v>
      </c>
      <c r="K19" s="7">
        <f t="shared" si="0"/>
        <v>-46800</v>
      </c>
      <c r="L19" s="8">
        <f t="shared" si="1"/>
        <v>-0.10998824911868391</v>
      </c>
      <c r="M19" s="7">
        <f t="shared" si="2"/>
        <v>457412.5</v>
      </c>
      <c r="X19" t="s">
        <v>115</v>
      </c>
      <c r="Y19" t="s">
        <v>221</v>
      </c>
      <c r="Z19" t="s">
        <v>208</v>
      </c>
      <c r="AA19" t="s">
        <v>183</v>
      </c>
      <c r="AB19" t="s">
        <v>178</v>
      </c>
      <c r="AC19" t="s">
        <v>190</v>
      </c>
    </row>
    <row r="20" spans="1:29" x14ac:dyDescent="0.25">
      <c r="A20" t="s">
        <v>122</v>
      </c>
      <c r="B20" t="s">
        <v>123</v>
      </c>
      <c r="C20" t="s">
        <v>102</v>
      </c>
      <c r="D20" t="s">
        <v>80</v>
      </c>
      <c r="E20" t="s">
        <v>81</v>
      </c>
      <c r="F20" s="6">
        <v>46133</v>
      </c>
      <c r="G20" s="6">
        <v>46222</v>
      </c>
      <c r="H20" s="7">
        <v>232500</v>
      </c>
      <c r="I20" s="7"/>
      <c r="J20" t="s">
        <v>63</v>
      </c>
      <c r="K20" s="7">
        <f t="shared" si="0"/>
        <v>232500</v>
      </c>
      <c r="L20" s="8">
        <f t="shared" si="1"/>
        <v>1</v>
      </c>
      <c r="M20" s="7">
        <f t="shared" si="2"/>
        <v>249937.5</v>
      </c>
      <c r="X20" t="s">
        <v>95</v>
      </c>
      <c r="Y20" t="s">
        <v>222</v>
      </c>
      <c r="Z20" t="s">
        <v>211</v>
      </c>
      <c r="AA20" t="s">
        <v>188</v>
      </c>
      <c r="AB20" t="s">
        <v>189</v>
      </c>
      <c r="AC20" t="s">
        <v>195</v>
      </c>
    </row>
    <row r="21" spans="1:29" x14ac:dyDescent="0.25">
      <c r="A21" t="s">
        <v>124</v>
      </c>
      <c r="B21" t="s">
        <v>125</v>
      </c>
      <c r="C21" t="s">
        <v>105</v>
      </c>
      <c r="D21" t="s">
        <v>86</v>
      </c>
      <c r="E21" t="s">
        <v>87</v>
      </c>
      <c r="F21" s="6">
        <v>46049</v>
      </c>
      <c r="G21" s="6">
        <v>46206</v>
      </c>
      <c r="H21" s="7">
        <v>384500</v>
      </c>
      <c r="I21" s="7">
        <v>288400</v>
      </c>
      <c r="J21" t="s">
        <v>63</v>
      </c>
      <c r="K21" s="7">
        <f t="shared" si="0"/>
        <v>96100</v>
      </c>
      <c r="L21" s="8">
        <f t="shared" si="1"/>
        <v>0.24993498049414825</v>
      </c>
      <c r="M21" s="7">
        <f t="shared" si="2"/>
        <v>413337.5</v>
      </c>
      <c r="X21" t="s">
        <v>133</v>
      </c>
      <c r="Y21" t="s">
        <v>223</v>
      </c>
      <c r="Z21" t="s">
        <v>213</v>
      </c>
      <c r="AA21" t="s">
        <v>194</v>
      </c>
      <c r="AB21" t="s">
        <v>178</v>
      </c>
      <c r="AC21" t="s">
        <v>200</v>
      </c>
    </row>
    <row r="22" spans="1:29" x14ac:dyDescent="0.25">
      <c r="A22" t="s">
        <v>126</v>
      </c>
      <c r="B22" t="s">
        <v>127</v>
      </c>
      <c r="C22" t="s">
        <v>60</v>
      </c>
      <c r="D22" t="s">
        <v>61</v>
      </c>
      <c r="E22" t="s">
        <v>62</v>
      </c>
      <c r="F22" s="6">
        <v>46068</v>
      </c>
      <c r="G22" s="6">
        <v>46246</v>
      </c>
      <c r="H22" s="7">
        <v>475000</v>
      </c>
      <c r="I22" s="7">
        <v>527200</v>
      </c>
      <c r="J22" t="s">
        <v>63</v>
      </c>
      <c r="K22" s="7">
        <f t="shared" si="0"/>
        <v>-52200</v>
      </c>
      <c r="L22" s="8">
        <f t="shared" si="1"/>
        <v>-0.10989473684210527</v>
      </c>
      <c r="M22" s="7">
        <f t="shared" si="2"/>
        <v>510625</v>
      </c>
      <c r="X22" t="s">
        <v>117</v>
      </c>
      <c r="Y22" t="s">
        <v>224</v>
      </c>
      <c r="Z22" t="s">
        <v>176</v>
      </c>
      <c r="AA22" t="s">
        <v>198</v>
      </c>
      <c r="AB22" t="s">
        <v>178</v>
      </c>
      <c r="AC22" t="s">
        <v>179</v>
      </c>
    </row>
    <row r="23" spans="1:29" x14ac:dyDescent="0.25">
      <c r="A23" t="s">
        <v>128</v>
      </c>
      <c r="B23" t="s">
        <v>129</v>
      </c>
      <c r="C23" t="s">
        <v>67</v>
      </c>
      <c r="D23" t="s">
        <v>68</v>
      </c>
      <c r="E23" t="s">
        <v>69</v>
      </c>
      <c r="F23" s="6">
        <v>46121</v>
      </c>
      <c r="G23" s="6">
        <v>46291</v>
      </c>
      <c r="H23" s="7">
        <v>420000</v>
      </c>
      <c r="I23" s="7">
        <v>285600</v>
      </c>
      <c r="J23" t="s">
        <v>82</v>
      </c>
      <c r="K23" s="7">
        <f t="shared" si="0"/>
        <v>134400</v>
      </c>
      <c r="L23" s="8">
        <f t="shared" si="1"/>
        <v>0.32</v>
      </c>
      <c r="M23" s="7">
        <f t="shared" si="2"/>
        <v>451500</v>
      </c>
      <c r="X23" t="s">
        <v>98</v>
      </c>
      <c r="Y23" t="s">
        <v>225</v>
      </c>
      <c r="Z23" t="s">
        <v>182</v>
      </c>
      <c r="AA23" t="s">
        <v>203</v>
      </c>
      <c r="AB23" t="s">
        <v>189</v>
      </c>
      <c r="AC23" t="s">
        <v>184</v>
      </c>
    </row>
    <row r="24" spans="1:29" x14ac:dyDescent="0.25">
      <c r="A24" t="s">
        <v>130</v>
      </c>
      <c r="B24" t="s">
        <v>131</v>
      </c>
      <c r="C24" t="s">
        <v>73</v>
      </c>
      <c r="D24" t="s">
        <v>74</v>
      </c>
      <c r="E24" t="s">
        <v>75</v>
      </c>
      <c r="F24" s="6">
        <v>46147</v>
      </c>
      <c r="G24" s="6">
        <v>46203</v>
      </c>
      <c r="H24" s="7">
        <v>202500</v>
      </c>
      <c r="I24" s="7">
        <v>224800</v>
      </c>
      <c r="J24" t="s">
        <v>88</v>
      </c>
      <c r="K24" s="7">
        <f t="shared" si="0"/>
        <v>-22300</v>
      </c>
      <c r="L24" s="8">
        <f t="shared" si="1"/>
        <v>-0.11012345679012346</v>
      </c>
      <c r="M24" s="7">
        <f t="shared" si="2"/>
        <v>217687.5</v>
      </c>
      <c r="X24" t="s">
        <v>135</v>
      </c>
      <c r="Y24" t="s">
        <v>226</v>
      </c>
      <c r="Z24" t="s">
        <v>187</v>
      </c>
      <c r="AA24" t="s">
        <v>206</v>
      </c>
      <c r="AB24" t="s">
        <v>178</v>
      </c>
      <c r="AC24" t="s">
        <v>190</v>
      </c>
    </row>
    <row r="25" spans="1:29" x14ac:dyDescent="0.25">
      <c r="A25" t="s">
        <v>132</v>
      </c>
      <c r="B25" t="s">
        <v>133</v>
      </c>
      <c r="C25" t="s">
        <v>79</v>
      </c>
      <c r="D25" t="s">
        <v>80</v>
      </c>
      <c r="E25" t="s">
        <v>81</v>
      </c>
      <c r="F25" s="6">
        <v>46070</v>
      </c>
      <c r="G25" s="6">
        <v>46158</v>
      </c>
      <c r="H25" s="7">
        <v>302000</v>
      </c>
      <c r="I25" s="7">
        <v>274800</v>
      </c>
      <c r="J25" t="s">
        <v>93</v>
      </c>
      <c r="K25" s="7">
        <f t="shared" si="0"/>
        <v>27200</v>
      </c>
      <c r="L25" s="8">
        <f t="shared" si="1"/>
        <v>9.006622516556291E-2</v>
      </c>
      <c r="M25" s="7">
        <f t="shared" si="2"/>
        <v>324650</v>
      </c>
      <c r="X25" t="s">
        <v>119</v>
      </c>
      <c r="Y25" t="s">
        <v>227</v>
      </c>
      <c r="Z25" t="s">
        <v>193</v>
      </c>
      <c r="AA25" t="s">
        <v>209</v>
      </c>
      <c r="AB25" t="s">
        <v>199</v>
      </c>
      <c r="AC25" t="s">
        <v>195</v>
      </c>
    </row>
    <row r="26" spans="1:29" x14ac:dyDescent="0.25">
      <c r="A26" t="s">
        <v>134</v>
      </c>
      <c r="B26" t="s">
        <v>135</v>
      </c>
      <c r="C26" t="s">
        <v>85</v>
      </c>
      <c r="D26" t="s">
        <v>86</v>
      </c>
      <c r="E26" t="s">
        <v>87</v>
      </c>
      <c r="F26" s="6">
        <v>46030</v>
      </c>
      <c r="G26" s="6">
        <v>46126</v>
      </c>
      <c r="H26" s="7">
        <v>321000</v>
      </c>
      <c r="I26" s="7">
        <v>292100</v>
      </c>
      <c r="J26" t="s">
        <v>63</v>
      </c>
      <c r="K26" s="7">
        <f t="shared" si="0"/>
        <v>28900</v>
      </c>
      <c r="L26" s="8">
        <f t="shared" si="1"/>
        <v>9.003115264797508E-2</v>
      </c>
      <c r="M26" s="7">
        <f t="shared" si="2"/>
        <v>345075</v>
      </c>
      <c r="X26" t="s">
        <v>101</v>
      </c>
      <c r="Y26" t="s">
        <v>228</v>
      </c>
      <c r="Z26" t="s">
        <v>197</v>
      </c>
      <c r="AA26" t="s">
        <v>177</v>
      </c>
      <c r="AB26" t="s">
        <v>178</v>
      </c>
      <c r="AC26" t="s">
        <v>200</v>
      </c>
    </row>
    <row r="27" spans="1:29" x14ac:dyDescent="0.25">
      <c r="A27" t="s">
        <v>136</v>
      </c>
      <c r="B27" t="s">
        <v>59</v>
      </c>
      <c r="C27" t="s">
        <v>92</v>
      </c>
      <c r="D27" t="s">
        <v>61</v>
      </c>
      <c r="E27" t="s">
        <v>62</v>
      </c>
      <c r="F27" s="6">
        <v>46130</v>
      </c>
      <c r="G27" s="6">
        <v>46306</v>
      </c>
      <c r="H27" s="7">
        <v>221000</v>
      </c>
      <c r="I27" s="7">
        <v>229800</v>
      </c>
      <c r="J27" t="s">
        <v>63</v>
      </c>
      <c r="K27" s="7">
        <f t="shared" si="0"/>
        <v>-8800</v>
      </c>
      <c r="L27" s="8">
        <f t="shared" si="1"/>
        <v>-3.9819004524886875E-2</v>
      </c>
      <c r="M27" s="7">
        <f t="shared" si="2"/>
        <v>237575</v>
      </c>
    </row>
    <row r="28" spans="1:29" x14ac:dyDescent="0.25">
      <c r="A28" t="s">
        <v>137</v>
      </c>
      <c r="B28" t="s">
        <v>66</v>
      </c>
      <c r="C28" t="s">
        <v>96</v>
      </c>
      <c r="D28" t="s">
        <v>68</v>
      </c>
      <c r="E28" t="s">
        <v>69</v>
      </c>
      <c r="F28" s="6">
        <v>46144</v>
      </c>
      <c r="G28" s="6">
        <v>46257</v>
      </c>
      <c r="H28" s="7">
        <v>382500</v>
      </c>
      <c r="I28" s="7">
        <v>260100</v>
      </c>
      <c r="J28" t="s">
        <v>63</v>
      </c>
      <c r="K28" s="7">
        <f t="shared" si="0"/>
        <v>122400</v>
      </c>
      <c r="L28" s="8">
        <f t="shared" si="1"/>
        <v>0.32</v>
      </c>
      <c r="M28" s="7">
        <f t="shared" si="2"/>
        <v>411187.5</v>
      </c>
    </row>
    <row r="29" spans="1:29" x14ac:dyDescent="0.25">
      <c r="A29" t="s">
        <v>138</v>
      </c>
      <c r="B29" t="s">
        <v>72</v>
      </c>
      <c r="C29" t="s">
        <v>99</v>
      </c>
      <c r="D29" t="s">
        <v>74</v>
      </c>
      <c r="E29" t="s">
        <v>75</v>
      </c>
      <c r="F29" s="6">
        <v>46125</v>
      </c>
      <c r="G29" s="6">
        <v>46301</v>
      </c>
      <c r="H29" s="7">
        <v>459000</v>
      </c>
      <c r="I29" s="7"/>
      <c r="J29" t="s">
        <v>82</v>
      </c>
      <c r="K29" s="7">
        <f t="shared" si="0"/>
        <v>459000</v>
      </c>
      <c r="L29" s="8">
        <f t="shared" si="1"/>
        <v>1</v>
      </c>
      <c r="M29" s="7">
        <f t="shared" si="2"/>
        <v>493425</v>
      </c>
    </row>
    <row r="30" spans="1:29" x14ac:dyDescent="0.25">
      <c r="A30" t="s">
        <v>139</v>
      </c>
      <c r="B30" t="s">
        <v>78</v>
      </c>
      <c r="C30" t="s">
        <v>102</v>
      </c>
      <c r="D30" t="s">
        <v>80</v>
      </c>
      <c r="E30" t="s">
        <v>81</v>
      </c>
      <c r="F30" s="6">
        <v>46159</v>
      </c>
      <c r="G30" s="6">
        <v>46347</v>
      </c>
      <c r="H30" s="7">
        <v>150000</v>
      </c>
      <c r="I30" s="7">
        <v>166500</v>
      </c>
      <c r="J30" t="s">
        <v>88</v>
      </c>
      <c r="K30" s="7">
        <f t="shared" si="0"/>
        <v>-16500</v>
      </c>
      <c r="L30" s="8">
        <f t="shared" si="1"/>
        <v>-0.11</v>
      </c>
      <c r="M30" s="7">
        <f t="shared" si="2"/>
        <v>161250</v>
      </c>
    </row>
    <row r="31" spans="1:29" x14ac:dyDescent="0.25">
      <c r="A31" t="s">
        <v>140</v>
      </c>
      <c r="B31" t="s">
        <v>84</v>
      </c>
      <c r="C31" t="s">
        <v>105</v>
      </c>
      <c r="D31" t="s">
        <v>86</v>
      </c>
      <c r="E31" t="s">
        <v>87</v>
      </c>
      <c r="F31" s="6">
        <v>46041</v>
      </c>
      <c r="G31" s="6">
        <v>46209</v>
      </c>
      <c r="H31" s="7">
        <v>231500</v>
      </c>
      <c r="I31" s="7">
        <v>210700</v>
      </c>
      <c r="J31" t="s">
        <v>93</v>
      </c>
      <c r="K31" s="7">
        <f t="shared" si="0"/>
        <v>20800</v>
      </c>
      <c r="L31" s="8">
        <f t="shared" si="1"/>
        <v>8.9848812095032399E-2</v>
      </c>
      <c r="M31" s="7">
        <f t="shared" si="2"/>
        <v>248862.5</v>
      </c>
    </row>
    <row r="32" spans="1:29" x14ac:dyDescent="0.25">
      <c r="A32" t="s">
        <v>141</v>
      </c>
      <c r="B32" t="s">
        <v>91</v>
      </c>
      <c r="C32" t="s">
        <v>60</v>
      </c>
      <c r="D32" t="s">
        <v>61</v>
      </c>
      <c r="E32" t="s">
        <v>62</v>
      </c>
      <c r="F32" s="6">
        <v>46156</v>
      </c>
      <c r="G32" s="6">
        <v>46306</v>
      </c>
      <c r="H32" s="7">
        <v>293000</v>
      </c>
      <c r="I32" s="7">
        <v>304700</v>
      </c>
      <c r="J32" t="s">
        <v>63</v>
      </c>
      <c r="K32" s="7">
        <f t="shared" si="0"/>
        <v>-11700</v>
      </c>
      <c r="L32" s="8">
        <f t="shared" si="1"/>
        <v>-3.9931740614334472E-2</v>
      </c>
      <c r="M32" s="7">
        <f t="shared" si="2"/>
        <v>314975</v>
      </c>
    </row>
    <row r="33" spans="1:13" x14ac:dyDescent="0.25">
      <c r="A33" t="s">
        <v>142</v>
      </c>
      <c r="B33" t="s">
        <v>95</v>
      </c>
      <c r="C33" t="s">
        <v>67</v>
      </c>
      <c r="D33" t="s">
        <v>68</v>
      </c>
      <c r="E33" t="s">
        <v>69</v>
      </c>
      <c r="F33" s="6">
        <v>46133</v>
      </c>
      <c r="G33" s="6">
        <v>46266</v>
      </c>
      <c r="H33" s="7">
        <v>45500</v>
      </c>
      <c r="I33" s="7">
        <v>47300</v>
      </c>
      <c r="J33" t="s">
        <v>63</v>
      </c>
      <c r="K33" s="7">
        <f t="shared" si="0"/>
        <v>-1800</v>
      </c>
      <c r="L33" s="8">
        <f t="shared" si="1"/>
        <v>-3.9560439560439559E-2</v>
      </c>
      <c r="M33" s="7">
        <f t="shared" si="2"/>
        <v>48912.5</v>
      </c>
    </row>
    <row r="34" spans="1:13" x14ac:dyDescent="0.25">
      <c r="A34" t="s">
        <v>118</v>
      </c>
      <c r="B34" t="s">
        <v>98</v>
      </c>
      <c r="C34" t="s">
        <v>73</v>
      </c>
      <c r="D34" t="s">
        <v>74</v>
      </c>
      <c r="E34" t="s">
        <v>75</v>
      </c>
      <c r="F34" s="6">
        <v>46144</v>
      </c>
      <c r="G34" s="6">
        <v>46342</v>
      </c>
      <c r="H34" s="7">
        <v>59000</v>
      </c>
      <c r="I34" s="7">
        <v>53700</v>
      </c>
      <c r="J34" t="s">
        <v>63</v>
      </c>
      <c r="K34" s="7">
        <f t="shared" si="0"/>
        <v>5300</v>
      </c>
      <c r="L34" s="8">
        <f t="shared" si="1"/>
        <v>8.9830508474576271E-2</v>
      </c>
      <c r="M34" s="7">
        <f t="shared" si="2"/>
        <v>63425</v>
      </c>
    </row>
    <row r="35" spans="1:13" x14ac:dyDescent="0.25">
      <c r="A35" t="s">
        <v>143</v>
      </c>
      <c r="B35" t="s">
        <v>101</v>
      </c>
      <c r="C35" t="s">
        <v>79</v>
      </c>
      <c r="D35" t="s">
        <v>80</v>
      </c>
      <c r="E35" t="s">
        <v>81</v>
      </c>
      <c r="F35" s="6">
        <v>46072</v>
      </c>
      <c r="G35" s="6">
        <v>46257</v>
      </c>
      <c r="H35" s="7">
        <v>344000</v>
      </c>
      <c r="I35" s="7">
        <v>282100</v>
      </c>
      <c r="J35" t="s">
        <v>82</v>
      </c>
      <c r="K35" s="7">
        <f t="shared" si="0"/>
        <v>61900</v>
      </c>
      <c r="L35" s="8">
        <f t="shared" si="1"/>
        <v>0.17994186046511629</v>
      </c>
      <c r="M35" s="7">
        <f t="shared" si="2"/>
        <v>369800</v>
      </c>
    </row>
    <row r="36" spans="1:13" x14ac:dyDescent="0.25">
      <c r="A36" t="s">
        <v>144</v>
      </c>
      <c r="B36" t="s">
        <v>104</v>
      </c>
      <c r="C36" t="s">
        <v>85</v>
      </c>
      <c r="D36" t="s">
        <v>86</v>
      </c>
      <c r="E36" t="s">
        <v>87</v>
      </c>
      <c r="F36" s="6">
        <v>46050</v>
      </c>
      <c r="G36" s="6">
        <v>46236</v>
      </c>
      <c r="H36" s="7">
        <v>453000</v>
      </c>
      <c r="I36" s="7"/>
      <c r="J36" t="s">
        <v>88</v>
      </c>
      <c r="K36" s="7">
        <f t="shared" si="0"/>
        <v>453000</v>
      </c>
      <c r="L36" s="8">
        <f t="shared" si="1"/>
        <v>1</v>
      </c>
      <c r="M36" s="7">
        <f t="shared" si="2"/>
        <v>486975</v>
      </c>
    </row>
    <row r="37" spans="1:13" x14ac:dyDescent="0.25">
      <c r="A37" t="s">
        <v>145</v>
      </c>
      <c r="B37" t="s">
        <v>107</v>
      </c>
      <c r="C37" t="s">
        <v>92</v>
      </c>
      <c r="D37" t="s">
        <v>61</v>
      </c>
      <c r="E37" t="s">
        <v>62</v>
      </c>
      <c r="F37" s="6">
        <v>46035</v>
      </c>
      <c r="G37" s="6">
        <v>46098</v>
      </c>
      <c r="H37" s="7">
        <v>87500</v>
      </c>
      <c r="I37" s="7">
        <v>59500</v>
      </c>
      <c r="J37" t="s">
        <v>93</v>
      </c>
      <c r="K37" s="7">
        <f t="shared" si="0"/>
        <v>28000</v>
      </c>
      <c r="L37" s="8">
        <f t="shared" si="1"/>
        <v>0.32</v>
      </c>
      <c r="M37" s="7">
        <f t="shared" si="2"/>
        <v>94062.5</v>
      </c>
    </row>
    <row r="38" spans="1:13" x14ac:dyDescent="0.25">
      <c r="A38" t="s">
        <v>146</v>
      </c>
      <c r="B38" t="s">
        <v>147</v>
      </c>
      <c r="C38" t="s">
        <v>96</v>
      </c>
      <c r="D38" t="s">
        <v>68</v>
      </c>
      <c r="E38" t="s">
        <v>69</v>
      </c>
      <c r="F38" s="6">
        <v>46142</v>
      </c>
      <c r="G38" s="6">
        <v>46190</v>
      </c>
      <c r="H38" s="7">
        <v>431000</v>
      </c>
      <c r="I38" s="7">
        <v>418100</v>
      </c>
      <c r="J38" t="s">
        <v>63</v>
      </c>
      <c r="K38" s="7">
        <f t="shared" si="0"/>
        <v>12900</v>
      </c>
      <c r="L38" s="8">
        <f t="shared" si="1"/>
        <v>2.9930394431554524E-2</v>
      </c>
      <c r="M38" s="7">
        <f t="shared" si="2"/>
        <v>463325</v>
      </c>
    </row>
    <row r="39" spans="1:13" x14ac:dyDescent="0.25">
      <c r="A39" t="s">
        <v>148</v>
      </c>
      <c r="B39" t="s">
        <v>111</v>
      </c>
      <c r="C39" t="s">
        <v>99</v>
      </c>
      <c r="D39" t="s">
        <v>74</v>
      </c>
      <c r="E39" t="s">
        <v>75</v>
      </c>
      <c r="F39" s="6">
        <v>46090</v>
      </c>
      <c r="G39" s="6">
        <v>46203</v>
      </c>
      <c r="H39" s="7">
        <v>101000</v>
      </c>
      <c r="I39" s="7">
        <v>82800</v>
      </c>
      <c r="J39" t="s">
        <v>63</v>
      </c>
      <c r="K39" s="7">
        <f t="shared" si="0"/>
        <v>18200</v>
      </c>
      <c r="L39" s="8">
        <f t="shared" si="1"/>
        <v>0.18019801980198019</v>
      </c>
      <c r="M39" s="7">
        <f t="shared" si="2"/>
        <v>108575</v>
      </c>
    </row>
    <row r="40" spans="1:13" x14ac:dyDescent="0.25">
      <c r="A40" t="s">
        <v>149</v>
      </c>
      <c r="B40" t="s">
        <v>113</v>
      </c>
      <c r="C40" t="s">
        <v>102</v>
      </c>
      <c r="D40" t="s">
        <v>80</v>
      </c>
      <c r="E40" t="s">
        <v>81</v>
      </c>
      <c r="F40" s="6">
        <v>46115</v>
      </c>
      <c r="G40" s="6">
        <v>46234</v>
      </c>
      <c r="H40" s="7">
        <v>80500</v>
      </c>
      <c r="I40" s="7">
        <v>66000</v>
      </c>
      <c r="J40" t="s">
        <v>63</v>
      </c>
      <c r="K40" s="7">
        <f t="shared" si="0"/>
        <v>14500</v>
      </c>
      <c r="L40" s="8">
        <f t="shared" si="1"/>
        <v>0.18012422360248448</v>
      </c>
      <c r="M40" s="7">
        <f t="shared" si="2"/>
        <v>86537.5</v>
      </c>
    </row>
    <row r="41" spans="1:13" x14ac:dyDescent="0.25">
      <c r="A41" t="s">
        <v>150</v>
      </c>
      <c r="B41" t="s">
        <v>115</v>
      </c>
      <c r="C41" t="s">
        <v>105</v>
      </c>
      <c r="D41" t="s">
        <v>86</v>
      </c>
      <c r="E41" t="s">
        <v>87</v>
      </c>
      <c r="F41" s="6">
        <v>46067</v>
      </c>
      <c r="G41" s="6">
        <v>46177</v>
      </c>
      <c r="H41" s="7">
        <v>315000</v>
      </c>
      <c r="I41" s="7"/>
      <c r="J41" t="s">
        <v>82</v>
      </c>
      <c r="K41" s="7">
        <f t="shared" si="0"/>
        <v>315000</v>
      </c>
      <c r="L41" s="8">
        <f t="shared" si="1"/>
        <v>1</v>
      </c>
      <c r="M41" s="7">
        <f t="shared" si="2"/>
        <v>338625</v>
      </c>
    </row>
  </sheetData>
  <pageMargins left="0.75" right="0.75" top="1" bottom="1" header="0.5" footer="0.5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3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customWidth="1"/>
    <col min="2" max="2" width="13" customWidth="1"/>
    <col min="3" max="5" width="11" customWidth="1"/>
    <col min="6" max="6" width="13" customWidth="1"/>
    <col min="7" max="7" width="10" customWidth="1"/>
    <col min="8" max="8" width="15" customWidth="1"/>
    <col min="9" max="9" width="10" customWidth="1"/>
    <col min="10" max="10" width="34" customWidth="1"/>
    <col min="11" max="11" width="16" customWidth="1"/>
    <col min="12" max="12" width="2" customWidth="1"/>
    <col min="13" max="13" width="14" customWidth="1"/>
    <col min="14" max="14" width="13" customWidth="1"/>
    <col min="15" max="15" width="14" customWidth="1"/>
    <col min="16" max="16" width="26" customWidth="1"/>
    <col min="17" max="17" width="12" customWidth="1"/>
    <col min="19" max="19" width="96" customWidth="1"/>
  </cols>
  <sheetData>
    <row r="1" spans="1:19" ht="18.75" x14ac:dyDescent="0.25">
      <c r="A1" s="16" t="s">
        <v>229</v>
      </c>
      <c r="B1" s="16" t="s">
        <v>230</v>
      </c>
      <c r="C1" s="16" t="s">
        <v>48</v>
      </c>
      <c r="D1" s="16" t="s">
        <v>231</v>
      </c>
      <c r="E1" s="16" t="s">
        <v>232</v>
      </c>
      <c r="F1" s="16" t="s">
        <v>233</v>
      </c>
      <c r="G1" s="16" t="s">
        <v>234</v>
      </c>
      <c r="H1" s="16" t="s">
        <v>235</v>
      </c>
      <c r="I1" s="16" t="s">
        <v>56</v>
      </c>
      <c r="J1" s="16" t="s">
        <v>236</v>
      </c>
      <c r="S1" s="1" t="s">
        <v>237</v>
      </c>
    </row>
    <row r="2" spans="1:19" x14ac:dyDescent="0.25">
      <c r="A2" s="17" t="s">
        <v>238</v>
      </c>
      <c r="B2" s="17" t="s">
        <v>239</v>
      </c>
      <c r="C2" s="17" t="s">
        <v>59</v>
      </c>
      <c r="D2" s="17"/>
      <c r="E2" s="17" t="s">
        <v>240</v>
      </c>
      <c r="F2" s="17" t="s">
        <v>241</v>
      </c>
      <c r="G2" s="17" t="s">
        <v>242</v>
      </c>
      <c r="H2" s="17" t="s">
        <v>243</v>
      </c>
      <c r="I2" s="17" t="s">
        <v>244</v>
      </c>
      <c r="J2" s="17" t="s">
        <v>245</v>
      </c>
      <c r="S2" s="4" t="s">
        <v>246</v>
      </c>
    </row>
    <row r="3" spans="1:19" x14ac:dyDescent="0.25">
      <c r="A3" s="17" t="s">
        <v>247</v>
      </c>
      <c r="B3" s="17" t="s">
        <v>248</v>
      </c>
      <c r="C3" s="17" t="s">
        <v>249</v>
      </c>
      <c r="D3" s="17" t="s">
        <v>250</v>
      </c>
      <c r="E3" s="17" t="s">
        <v>240</v>
      </c>
      <c r="F3" s="17" t="s">
        <v>251</v>
      </c>
      <c r="G3" s="17" t="s">
        <v>252</v>
      </c>
      <c r="H3" s="17" t="s">
        <v>253</v>
      </c>
      <c r="I3" s="17" t="s">
        <v>244</v>
      </c>
      <c r="J3" s="17" t="s">
        <v>254</v>
      </c>
      <c r="S3" s="4" t="s">
        <v>255</v>
      </c>
    </row>
    <row r="4" spans="1:19" x14ac:dyDescent="0.25">
      <c r="A4" s="17" t="s">
        <v>256</v>
      </c>
      <c r="B4" s="17" t="s">
        <v>257</v>
      </c>
      <c r="C4" s="17" t="s">
        <v>121</v>
      </c>
      <c r="D4" s="17" t="s">
        <v>258</v>
      </c>
      <c r="E4" s="17" t="s">
        <v>240</v>
      </c>
      <c r="F4" s="17" t="s">
        <v>259</v>
      </c>
      <c r="G4" s="17" t="s">
        <v>252</v>
      </c>
      <c r="H4" s="17" t="s">
        <v>260</v>
      </c>
      <c r="I4" s="17" t="s">
        <v>244</v>
      </c>
      <c r="J4" s="17" t="s">
        <v>261</v>
      </c>
      <c r="S4" s="4" t="s">
        <v>262</v>
      </c>
    </row>
    <row r="5" spans="1:19" x14ac:dyDescent="0.25">
      <c r="A5" s="17" t="s">
        <v>263</v>
      </c>
      <c r="B5" s="17" t="s">
        <v>264</v>
      </c>
      <c r="C5" s="17" t="s">
        <v>91</v>
      </c>
      <c r="D5" s="17" t="s">
        <v>250</v>
      </c>
      <c r="E5" s="17" t="s">
        <v>240</v>
      </c>
      <c r="F5" s="17" t="s">
        <v>265</v>
      </c>
      <c r="G5" s="17" t="s">
        <v>252</v>
      </c>
      <c r="H5" s="17" t="s">
        <v>266</v>
      </c>
      <c r="I5" s="17" t="s">
        <v>267</v>
      </c>
      <c r="J5" s="17" t="s">
        <v>268</v>
      </c>
      <c r="S5" s="4" t="s">
        <v>269</v>
      </c>
    </row>
    <row r="6" spans="1:19" x14ac:dyDescent="0.25">
      <c r="A6" s="17" t="s">
        <v>270</v>
      </c>
      <c r="B6" s="17" t="s">
        <v>271</v>
      </c>
      <c r="C6" s="17" t="s">
        <v>95</v>
      </c>
      <c r="D6" s="17" t="s">
        <v>272</v>
      </c>
      <c r="E6" s="17" t="s">
        <v>240</v>
      </c>
      <c r="F6" s="17" t="s">
        <v>273</v>
      </c>
      <c r="G6" s="17" t="s">
        <v>252</v>
      </c>
      <c r="H6" s="17" t="s">
        <v>260</v>
      </c>
      <c r="I6" s="17" t="s">
        <v>244</v>
      </c>
      <c r="J6" s="17" t="s">
        <v>274</v>
      </c>
      <c r="S6" s="4" t="s">
        <v>275</v>
      </c>
    </row>
    <row r="7" spans="1:19" x14ac:dyDescent="0.25">
      <c r="A7" s="17" t="s">
        <v>276</v>
      </c>
      <c r="B7" s="17" t="s">
        <v>257</v>
      </c>
      <c r="C7" s="17" t="s">
        <v>277</v>
      </c>
      <c r="D7" s="17" t="s">
        <v>250</v>
      </c>
      <c r="E7" s="17" t="s">
        <v>240</v>
      </c>
      <c r="F7" s="17" t="s">
        <v>278</v>
      </c>
      <c r="G7" s="17" t="s">
        <v>252</v>
      </c>
      <c r="H7" s="17" t="s">
        <v>260</v>
      </c>
      <c r="I7" s="17" t="s">
        <v>244</v>
      </c>
      <c r="J7" s="17" t="s">
        <v>279</v>
      </c>
      <c r="S7" s="4" t="s">
        <v>280</v>
      </c>
    </row>
    <row r="8" spans="1:19" x14ac:dyDescent="0.25">
      <c r="A8" s="17" t="s">
        <v>281</v>
      </c>
      <c r="B8" s="17" t="s">
        <v>282</v>
      </c>
      <c r="C8" s="17" t="s">
        <v>78</v>
      </c>
      <c r="D8" s="17" t="s">
        <v>283</v>
      </c>
      <c r="E8" s="17" t="s">
        <v>240</v>
      </c>
      <c r="F8" s="17" t="s">
        <v>284</v>
      </c>
      <c r="G8" s="17" t="s">
        <v>252</v>
      </c>
      <c r="H8" s="17" t="s">
        <v>253</v>
      </c>
      <c r="I8" s="17" t="s">
        <v>244</v>
      </c>
      <c r="J8" s="17" t="s">
        <v>285</v>
      </c>
      <c r="S8" s="4" t="s">
        <v>286</v>
      </c>
    </row>
    <row r="9" spans="1:19" x14ac:dyDescent="0.25">
      <c r="A9" s="17" t="s">
        <v>287</v>
      </c>
      <c r="B9" s="17" t="s">
        <v>288</v>
      </c>
      <c r="C9" s="17" t="s">
        <v>66</v>
      </c>
      <c r="D9" s="17" t="s">
        <v>272</v>
      </c>
      <c r="E9" s="17" t="s">
        <v>289</v>
      </c>
      <c r="F9" s="17" t="s">
        <v>290</v>
      </c>
      <c r="G9" s="17" t="s">
        <v>252</v>
      </c>
      <c r="H9" s="17" t="s">
        <v>243</v>
      </c>
      <c r="I9" s="17" t="s">
        <v>244</v>
      </c>
      <c r="J9" s="17" t="s">
        <v>291</v>
      </c>
      <c r="S9" s="4" t="s">
        <v>292</v>
      </c>
    </row>
    <row r="10" spans="1:19" x14ac:dyDescent="0.25">
      <c r="A10" s="17" t="s">
        <v>293</v>
      </c>
      <c r="B10" s="17" t="s">
        <v>294</v>
      </c>
      <c r="C10" s="17" t="s">
        <v>131</v>
      </c>
      <c r="D10" s="17" t="s">
        <v>258</v>
      </c>
      <c r="E10" s="17" t="s">
        <v>289</v>
      </c>
      <c r="F10" s="17" t="s">
        <v>295</v>
      </c>
      <c r="G10" s="17" t="s">
        <v>252</v>
      </c>
      <c r="H10" s="17" t="s">
        <v>266</v>
      </c>
      <c r="I10" s="17" t="s">
        <v>267</v>
      </c>
      <c r="J10" s="17" t="s">
        <v>296</v>
      </c>
      <c r="S10" s="4" t="s">
        <v>297</v>
      </c>
    </row>
    <row r="11" spans="1:19" x14ac:dyDescent="0.25">
      <c r="A11" s="17" t="s">
        <v>298</v>
      </c>
      <c r="B11" s="17" t="s">
        <v>299</v>
      </c>
      <c r="C11" s="17" t="s">
        <v>300</v>
      </c>
      <c r="D11" s="17" t="s">
        <v>272</v>
      </c>
      <c r="E11" s="17" t="s">
        <v>240</v>
      </c>
      <c r="F11" s="17" t="s">
        <v>301</v>
      </c>
      <c r="G11" s="17" t="s">
        <v>242</v>
      </c>
      <c r="H11" s="17" t="s">
        <v>266</v>
      </c>
      <c r="I11" s="17" t="s">
        <v>267</v>
      </c>
      <c r="J11" s="17" t="s">
        <v>302</v>
      </c>
      <c r="S11" s="4" t="s">
        <v>303</v>
      </c>
    </row>
    <row r="12" spans="1:19" x14ac:dyDescent="0.25">
      <c r="A12" s="17" t="s">
        <v>304</v>
      </c>
      <c r="B12" s="17" t="s">
        <v>305</v>
      </c>
      <c r="C12" s="17" t="s">
        <v>91</v>
      </c>
      <c r="D12" s="17" t="s">
        <v>250</v>
      </c>
      <c r="E12" s="17" t="s">
        <v>289</v>
      </c>
      <c r="F12" s="17" t="s">
        <v>306</v>
      </c>
      <c r="G12" s="17" t="s">
        <v>252</v>
      </c>
      <c r="H12" s="17" t="s">
        <v>260</v>
      </c>
      <c r="I12" s="17" t="s">
        <v>244</v>
      </c>
      <c r="J12" s="17" t="s">
        <v>307</v>
      </c>
      <c r="S12" s="2"/>
    </row>
    <row r="13" spans="1:19" x14ac:dyDescent="0.25">
      <c r="A13" s="17" t="s">
        <v>308</v>
      </c>
      <c r="B13" s="17" t="s">
        <v>309</v>
      </c>
      <c r="C13" s="17" t="s">
        <v>59</v>
      </c>
      <c r="D13" s="17" t="s">
        <v>250</v>
      </c>
      <c r="E13" s="17" t="s">
        <v>240</v>
      </c>
      <c r="F13" s="17" t="s">
        <v>310</v>
      </c>
      <c r="G13" s="17" t="s">
        <v>252</v>
      </c>
      <c r="H13" s="17" t="s">
        <v>260</v>
      </c>
      <c r="I13" s="17" t="s">
        <v>244</v>
      </c>
      <c r="J13" s="17" t="s">
        <v>311</v>
      </c>
      <c r="S13" s="3" t="s">
        <v>312</v>
      </c>
    </row>
    <row r="14" spans="1:19" x14ac:dyDescent="0.25">
      <c r="A14" s="17" t="s">
        <v>313</v>
      </c>
      <c r="B14" s="17" t="s">
        <v>299</v>
      </c>
      <c r="C14" s="17" t="s">
        <v>98</v>
      </c>
      <c r="D14" s="17" t="s">
        <v>258</v>
      </c>
      <c r="E14" s="17" t="s">
        <v>240</v>
      </c>
      <c r="F14" s="17" t="s">
        <v>314</v>
      </c>
      <c r="G14" s="17" t="s">
        <v>252</v>
      </c>
      <c r="H14" s="17" t="s">
        <v>243</v>
      </c>
      <c r="I14" s="17" t="s">
        <v>244</v>
      </c>
      <c r="J14" s="17" t="s">
        <v>315</v>
      </c>
      <c r="S14" s="2" t="s">
        <v>316</v>
      </c>
    </row>
    <row r="15" spans="1:19" x14ac:dyDescent="0.25">
      <c r="A15" s="17" t="s">
        <v>317</v>
      </c>
      <c r="B15" s="17" t="s">
        <v>305</v>
      </c>
      <c r="C15" s="17" t="s">
        <v>318</v>
      </c>
      <c r="D15" s="17" t="s">
        <v>258</v>
      </c>
      <c r="E15" s="17" t="s">
        <v>289</v>
      </c>
      <c r="F15" s="17" t="s">
        <v>319</v>
      </c>
      <c r="G15" s="17" t="s">
        <v>252</v>
      </c>
      <c r="H15" s="17" t="s">
        <v>243</v>
      </c>
      <c r="I15" s="17" t="s">
        <v>244</v>
      </c>
      <c r="J15" s="17" t="s">
        <v>320</v>
      </c>
      <c r="S15" s="2"/>
    </row>
    <row r="16" spans="1:19" x14ac:dyDescent="0.25">
      <c r="A16" s="17" t="s">
        <v>321</v>
      </c>
      <c r="B16" s="17" t="s">
        <v>309</v>
      </c>
      <c r="C16" s="17" t="s">
        <v>129</v>
      </c>
      <c r="D16" s="17" t="s">
        <v>272</v>
      </c>
      <c r="E16" s="17" t="s">
        <v>240</v>
      </c>
      <c r="F16" s="17" t="s">
        <v>322</v>
      </c>
      <c r="G16" s="17" t="s">
        <v>252</v>
      </c>
      <c r="H16" s="17" t="s">
        <v>243</v>
      </c>
      <c r="I16" s="17" t="s">
        <v>244</v>
      </c>
      <c r="J16" s="17" t="s">
        <v>323</v>
      </c>
      <c r="S16" s="4" t="s">
        <v>324</v>
      </c>
    </row>
    <row r="17" spans="1:10" x14ac:dyDescent="0.25">
      <c r="A17" s="17" t="s">
        <v>325</v>
      </c>
      <c r="B17" s="17" t="s">
        <v>326</v>
      </c>
      <c r="C17" s="17" t="s">
        <v>84</v>
      </c>
      <c r="D17" s="17" t="s">
        <v>327</v>
      </c>
      <c r="E17" s="17" t="s">
        <v>289</v>
      </c>
      <c r="F17" s="17" t="s">
        <v>328</v>
      </c>
      <c r="G17" s="17" t="s">
        <v>252</v>
      </c>
      <c r="H17" s="17" t="s">
        <v>243</v>
      </c>
      <c r="I17" s="17" t="s">
        <v>244</v>
      </c>
      <c r="J17" s="17" t="s">
        <v>329</v>
      </c>
    </row>
    <row r="18" spans="1:10" x14ac:dyDescent="0.25">
      <c r="A18" s="17" t="s">
        <v>330</v>
      </c>
      <c r="B18" s="17" t="s">
        <v>331</v>
      </c>
      <c r="C18" s="17" t="s">
        <v>107</v>
      </c>
      <c r="D18" s="17" t="s">
        <v>250</v>
      </c>
      <c r="E18" s="17" t="s">
        <v>240</v>
      </c>
      <c r="F18" s="17" t="s">
        <v>332</v>
      </c>
      <c r="G18" s="17" t="s">
        <v>252</v>
      </c>
      <c r="H18" s="17" t="s">
        <v>266</v>
      </c>
      <c r="I18" s="17" t="s">
        <v>267</v>
      </c>
      <c r="J18" s="17" t="s">
        <v>268</v>
      </c>
    </row>
    <row r="19" spans="1:10" x14ac:dyDescent="0.25">
      <c r="A19" s="17" t="s">
        <v>333</v>
      </c>
      <c r="B19" s="17" t="s">
        <v>334</v>
      </c>
      <c r="C19" s="17" t="s">
        <v>335</v>
      </c>
      <c r="D19" s="17"/>
      <c r="E19" s="17" t="s">
        <v>240</v>
      </c>
      <c r="F19" s="17" t="s">
        <v>336</v>
      </c>
      <c r="G19" s="17" t="s">
        <v>252</v>
      </c>
      <c r="H19" s="17" t="s">
        <v>266</v>
      </c>
      <c r="I19" s="17" t="s">
        <v>267</v>
      </c>
      <c r="J19" s="17" t="s">
        <v>337</v>
      </c>
    </row>
    <row r="20" spans="1:10" x14ac:dyDescent="0.25">
      <c r="A20" s="17" t="s">
        <v>313</v>
      </c>
      <c r="B20" s="17" t="s">
        <v>299</v>
      </c>
      <c r="C20" s="17" t="s">
        <v>98</v>
      </c>
      <c r="D20" s="17" t="s">
        <v>258</v>
      </c>
      <c r="E20" s="17" t="s">
        <v>240</v>
      </c>
      <c r="F20" s="17" t="s">
        <v>314</v>
      </c>
      <c r="G20" s="17" t="s">
        <v>252</v>
      </c>
      <c r="H20" s="17" t="s">
        <v>243</v>
      </c>
      <c r="I20" s="17" t="s">
        <v>244</v>
      </c>
      <c r="J20" s="17" t="s">
        <v>315</v>
      </c>
    </row>
    <row r="21" spans="1:10" x14ac:dyDescent="0.25">
      <c r="A21" s="17" t="s">
        <v>338</v>
      </c>
      <c r="B21" s="17" t="s">
        <v>326</v>
      </c>
      <c r="C21" s="17" t="s">
        <v>135</v>
      </c>
      <c r="D21" s="17" t="s">
        <v>327</v>
      </c>
      <c r="E21" s="17" t="s">
        <v>240</v>
      </c>
      <c r="F21" s="17" t="s">
        <v>339</v>
      </c>
      <c r="G21" s="17" t="s">
        <v>242</v>
      </c>
      <c r="H21" s="17" t="s">
        <v>266</v>
      </c>
      <c r="I21" s="17" t="s">
        <v>267</v>
      </c>
      <c r="J21" s="17" t="s">
        <v>340</v>
      </c>
    </row>
    <row r="22" spans="1:10" x14ac:dyDescent="0.25">
      <c r="A22" s="17" t="s">
        <v>341</v>
      </c>
      <c r="B22" s="17" t="s">
        <v>331</v>
      </c>
      <c r="C22" s="17" t="s">
        <v>101</v>
      </c>
      <c r="D22" s="17" t="s">
        <v>283</v>
      </c>
      <c r="E22" s="17" t="s">
        <v>240</v>
      </c>
      <c r="F22" s="17" t="s">
        <v>342</v>
      </c>
      <c r="G22" s="17" t="s">
        <v>252</v>
      </c>
      <c r="H22" s="17" t="s">
        <v>266</v>
      </c>
      <c r="I22" s="17" t="s">
        <v>267</v>
      </c>
      <c r="J22" s="17" t="s">
        <v>343</v>
      </c>
    </row>
    <row r="23" spans="1:10" x14ac:dyDescent="0.25">
      <c r="A23" s="17" t="s">
        <v>344</v>
      </c>
      <c r="B23" s="17" t="s">
        <v>334</v>
      </c>
      <c r="C23" s="17" t="s">
        <v>123</v>
      </c>
      <c r="D23" s="17" t="s">
        <v>283</v>
      </c>
      <c r="E23" s="17" t="s">
        <v>240</v>
      </c>
      <c r="F23" s="17" t="s">
        <v>345</v>
      </c>
      <c r="G23" s="17" t="s">
        <v>252</v>
      </c>
      <c r="H23" s="17" t="s">
        <v>260</v>
      </c>
      <c r="I23" s="17" t="s">
        <v>244</v>
      </c>
      <c r="J23" s="17" t="s">
        <v>346</v>
      </c>
    </row>
    <row r="24" spans="1:10" x14ac:dyDescent="0.25">
      <c r="A24" s="17" t="s">
        <v>347</v>
      </c>
      <c r="B24" s="17" t="s">
        <v>348</v>
      </c>
      <c r="C24" s="17" t="s">
        <v>318</v>
      </c>
      <c r="D24" s="17" t="s">
        <v>258</v>
      </c>
      <c r="E24" s="17" t="s">
        <v>289</v>
      </c>
      <c r="F24" s="17" t="s">
        <v>349</v>
      </c>
      <c r="G24" s="17" t="s">
        <v>252</v>
      </c>
      <c r="H24" s="17" t="s">
        <v>260</v>
      </c>
      <c r="I24" s="17" t="s">
        <v>244</v>
      </c>
      <c r="J24" s="17" t="s">
        <v>350</v>
      </c>
    </row>
    <row r="25" spans="1:10" x14ac:dyDescent="0.25">
      <c r="A25" s="17" t="s">
        <v>351</v>
      </c>
      <c r="B25" s="17" t="s">
        <v>352</v>
      </c>
      <c r="C25" s="17" t="s">
        <v>104</v>
      </c>
      <c r="D25" s="17" t="s">
        <v>327</v>
      </c>
      <c r="E25" s="17" t="s">
        <v>240</v>
      </c>
      <c r="F25" s="17" t="s">
        <v>353</v>
      </c>
      <c r="G25" s="17" t="s">
        <v>252</v>
      </c>
      <c r="H25" s="17" t="s">
        <v>266</v>
      </c>
      <c r="I25" s="17" t="s">
        <v>267</v>
      </c>
      <c r="J25" s="17" t="s">
        <v>354</v>
      </c>
    </row>
    <row r="26" spans="1:10" x14ac:dyDescent="0.25">
      <c r="A26" s="17" t="s">
        <v>355</v>
      </c>
      <c r="B26" s="17" t="s">
        <v>356</v>
      </c>
      <c r="C26" s="17" t="s">
        <v>129</v>
      </c>
      <c r="D26" s="17" t="s">
        <v>272</v>
      </c>
      <c r="E26" s="17" t="s">
        <v>289</v>
      </c>
      <c r="F26" s="17" t="s">
        <v>357</v>
      </c>
      <c r="G26" s="17" t="s">
        <v>252</v>
      </c>
      <c r="H26" s="17" t="s">
        <v>253</v>
      </c>
      <c r="I26" s="17" t="s">
        <v>244</v>
      </c>
      <c r="J26" s="17" t="s">
        <v>358</v>
      </c>
    </row>
    <row r="27" spans="1:10" x14ac:dyDescent="0.25">
      <c r="A27" s="17" t="s">
        <v>359</v>
      </c>
      <c r="B27" s="17" t="s">
        <v>348</v>
      </c>
      <c r="C27" s="17" t="s">
        <v>111</v>
      </c>
      <c r="D27" s="17" t="s">
        <v>258</v>
      </c>
      <c r="E27" s="17" t="s">
        <v>240</v>
      </c>
      <c r="F27" s="17" t="s">
        <v>360</v>
      </c>
      <c r="G27" s="17" t="s">
        <v>252</v>
      </c>
      <c r="H27" s="17" t="s">
        <v>243</v>
      </c>
      <c r="I27" s="17" t="s">
        <v>244</v>
      </c>
      <c r="J27" s="17" t="s">
        <v>315</v>
      </c>
    </row>
    <row r="28" spans="1:10" x14ac:dyDescent="0.25">
      <c r="A28" s="17" t="s">
        <v>361</v>
      </c>
      <c r="B28" s="17" t="s">
        <v>362</v>
      </c>
      <c r="C28" s="17" t="s">
        <v>363</v>
      </c>
      <c r="D28" s="17" t="s">
        <v>250</v>
      </c>
      <c r="E28" s="17" t="s">
        <v>240</v>
      </c>
      <c r="F28" s="17" t="s">
        <v>364</v>
      </c>
      <c r="G28" s="17" t="s">
        <v>252</v>
      </c>
      <c r="H28" s="17" t="s">
        <v>260</v>
      </c>
      <c r="I28" s="17" t="s">
        <v>244</v>
      </c>
      <c r="J28" s="17" t="s">
        <v>279</v>
      </c>
    </row>
    <row r="29" spans="1:10" x14ac:dyDescent="0.25">
      <c r="A29" s="17" t="s">
        <v>365</v>
      </c>
      <c r="B29" s="17" t="s">
        <v>366</v>
      </c>
      <c r="C29" s="17" t="s">
        <v>113</v>
      </c>
      <c r="D29" s="17" t="s">
        <v>283</v>
      </c>
      <c r="E29" s="17" t="s">
        <v>240</v>
      </c>
      <c r="F29" s="17" t="s">
        <v>367</v>
      </c>
      <c r="G29" s="17" t="s">
        <v>252</v>
      </c>
      <c r="H29" s="17" t="s">
        <v>260</v>
      </c>
      <c r="I29" s="17" t="s">
        <v>244</v>
      </c>
      <c r="J29" s="17" t="s">
        <v>368</v>
      </c>
    </row>
    <row r="30" spans="1:10" x14ac:dyDescent="0.25">
      <c r="A30" s="17" t="s">
        <v>369</v>
      </c>
      <c r="B30" s="17" t="s">
        <v>370</v>
      </c>
      <c r="C30" s="17" t="s">
        <v>113</v>
      </c>
      <c r="D30" s="17" t="s">
        <v>283</v>
      </c>
      <c r="E30" s="17" t="s">
        <v>240</v>
      </c>
      <c r="F30" s="17" t="s">
        <v>371</v>
      </c>
      <c r="G30" s="17" t="s">
        <v>242</v>
      </c>
      <c r="H30" s="17" t="s">
        <v>253</v>
      </c>
      <c r="I30" s="17" t="s">
        <v>244</v>
      </c>
      <c r="J30" s="17" t="s">
        <v>372</v>
      </c>
    </row>
    <row r="31" spans="1:10" x14ac:dyDescent="0.25">
      <c r="A31" s="17" t="s">
        <v>373</v>
      </c>
      <c r="B31" s="17" t="s">
        <v>374</v>
      </c>
      <c r="C31" s="17" t="s">
        <v>113</v>
      </c>
      <c r="D31" s="17" t="s">
        <v>283</v>
      </c>
      <c r="E31" s="17" t="s">
        <v>240</v>
      </c>
      <c r="F31" s="17" t="s">
        <v>375</v>
      </c>
      <c r="G31" s="17" t="s">
        <v>252</v>
      </c>
      <c r="H31" s="17" t="s">
        <v>243</v>
      </c>
      <c r="I31" s="17" t="s">
        <v>244</v>
      </c>
      <c r="J31" s="17" t="s">
        <v>376</v>
      </c>
    </row>
    <row r="32" spans="1:10" x14ac:dyDescent="0.25">
      <c r="A32" s="17" t="s">
        <v>377</v>
      </c>
      <c r="B32" s="17" t="s">
        <v>378</v>
      </c>
      <c r="C32" s="17" t="s">
        <v>379</v>
      </c>
      <c r="D32" s="17" t="s">
        <v>327</v>
      </c>
      <c r="E32" s="17" t="s">
        <v>240</v>
      </c>
      <c r="F32" s="17" t="s">
        <v>380</v>
      </c>
      <c r="G32" s="17" t="s">
        <v>252</v>
      </c>
      <c r="H32" s="17" t="s">
        <v>260</v>
      </c>
      <c r="I32" s="17" t="s">
        <v>244</v>
      </c>
      <c r="J32" s="17" t="s">
        <v>381</v>
      </c>
    </row>
    <row r="33" spans="1:10" x14ac:dyDescent="0.25">
      <c r="A33" s="17" t="s">
        <v>382</v>
      </c>
      <c r="B33" s="17" t="s">
        <v>383</v>
      </c>
      <c r="C33" s="17" t="s">
        <v>133</v>
      </c>
      <c r="D33" s="17" t="s">
        <v>283</v>
      </c>
      <c r="E33" s="17" t="s">
        <v>240</v>
      </c>
      <c r="F33" s="17" t="s">
        <v>384</v>
      </c>
      <c r="G33" s="17" t="s">
        <v>252</v>
      </c>
      <c r="H33" s="17" t="s">
        <v>243</v>
      </c>
      <c r="I33" s="17" t="s">
        <v>244</v>
      </c>
      <c r="J33" s="17" t="s">
        <v>385</v>
      </c>
    </row>
    <row r="34" spans="1:10" x14ac:dyDescent="0.25">
      <c r="A34" s="17" t="s">
        <v>386</v>
      </c>
      <c r="B34" s="17" t="s">
        <v>387</v>
      </c>
      <c r="C34" s="17" t="s">
        <v>104</v>
      </c>
      <c r="D34" s="17" t="s">
        <v>327</v>
      </c>
      <c r="E34" s="17" t="s">
        <v>240</v>
      </c>
      <c r="F34" s="17" t="s">
        <v>388</v>
      </c>
      <c r="G34" s="17" t="s">
        <v>252</v>
      </c>
      <c r="H34" s="17" t="s">
        <v>260</v>
      </c>
      <c r="I34" s="17" t="s">
        <v>244</v>
      </c>
      <c r="J34" s="17" t="s">
        <v>389</v>
      </c>
    </row>
    <row r="35" spans="1:10" x14ac:dyDescent="0.25">
      <c r="A35" s="17" t="s">
        <v>390</v>
      </c>
      <c r="B35" s="17" t="s">
        <v>391</v>
      </c>
      <c r="C35" s="17" t="s">
        <v>66</v>
      </c>
      <c r="D35" s="17" t="s">
        <v>272</v>
      </c>
      <c r="E35" s="17" t="s">
        <v>240</v>
      </c>
      <c r="F35" s="17" t="s">
        <v>392</v>
      </c>
      <c r="G35" s="17" t="s">
        <v>252</v>
      </c>
      <c r="H35" s="17" t="s">
        <v>243</v>
      </c>
      <c r="I35" s="17" t="s">
        <v>244</v>
      </c>
      <c r="J35" s="17" t="s">
        <v>393</v>
      </c>
    </row>
    <row r="36" spans="1:10" x14ac:dyDescent="0.25">
      <c r="A36" s="17" t="s">
        <v>394</v>
      </c>
      <c r="B36" s="17" t="s">
        <v>395</v>
      </c>
      <c r="C36" s="17" t="s">
        <v>396</v>
      </c>
      <c r="D36" s="17" t="s">
        <v>272</v>
      </c>
      <c r="E36" s="17" t="s">
        <v>289</v>
      </c>
      <c r="F36" s="17" t="s">
        <v>397</v>
      </c>
      <c r="G36" s="17" t="s">
        <v>252</v>
      </c>
      <c r="H36" s="17" t="s">
        <v>260</v>
      </c>
      <c r="I36" s="17" t="s">
        <v>244</v>
      </c>
      <c r="J36" s="17" t="s">
        <v>398</v>
      </c>
    </row>
    <row r="37" spans="1:10" x14ac:dyDescent="0.25">
      <c r="A37" s="17" t="s">
        <v>399</v>
      </c>
      <c r="B37" s="17" t="s">
        <v>400</v>
      </c>
      <c r="C37" s="17" t="s">
        <v>95</v>
      </c>
      <c r="D37" s="17"/>
      <c r="E37" s="17" t="s">
        <v>240</v>
      </c>
      <c r="F37" s="17" t="s">
        <v>401</v>
      </c>
      <c r="G37" s="17" t="s">
        <v>252</v>
      </c>
      <c r="H37" s="17" t="s">
        <v>260</v>
      </c>
      <c r="I37" s="17" t="s">
        <v>244</v>
      </c>
      <c r="J37" s="17" t="s">
        <v>402</v>
      </c>
    </row>
    <row r="38" spans="1:10" x14ac:dyDescent="0.25">
      <c r="A38" s="17" t="s">
        <v>403</v>
      </c>
      <c r="B38" s="17" t="s">
        <v>404</v>
      </c>
      <c r="C38" s="17" t="s">
        <v>104</v>
      </c>
      <c r="D38" s="17" t="s">
        <v>272</v>
      </c>
      <c r="E38" s="17" t="s">
        <v>240</v>
      </c>
      <c r="F38" s="17" t="s">
        <v>405</v>
      </c>
      <c r="G38" s="17" t="s">
        <v>252</v>
      </c>
      <c r="H38" s="17" t="s">
        <v>243</v>
      </c>
      <c r="I38" s="17" t="s">
        <v>244</v>
      </c>
      <c r="J38" s="17" t="s">
        <v>406</v>
      </c>
    </row>
    <row r="39" spans="1:10" x14ac:dyDescent="0.25">
      <c r="A39" s="17" t="s">
        <v>407</v>
      </c>
      <c r="B39" s="17" t="s">
        <v>408</v>
      </c>
      <c r="C39" s="17" t="s">
        <v>98</v>
      </c>
      <c r="D39" s="17" t="s">
        <v>258</v>
      </c>
      <c r="E39" s="17" t="s">
        <v>240</v>
      </c>
      <c r="F39" s="17" t="s">
        <v>409</v>
      </c>
      <c r="G39" s="17" t="s">
        <v>242</v>
      </c>
      <c r="H39" s="17" t="s">
        <v>243</v>
      </c>
      <c r="I39" s="17" t="s">
        <v>244</v>
      </c>
      <c r="J39" s="17" t="s">
        <v>315</v>
      </c>
    </row>
    <row r="40" spans="1:10" x14ac:dyDescent="0.25">
      <c r="A40" s="17" t="s">
        <v>410</v>
      </c>
      <c r="B40" s="17" t="s">
        <v>411</v>
      </c>
      <c r="C40" s="17" t="s">
        <v>412</v>
      </c>
      <c r="D40" s="17" t="s">
        <v>283</v>
      </c>
      <c r="E40" s="17" t="s">
        <v>240</v>
      </c>
      <c r="F40" s="17" t="s">
        <v>413</v>
      </c>
      <c r="G40" s="17" t="s">
        <v>252</v>
      </c>
      <c r="H40" s="17" t="s">
        <v>260</v>
      </c>
      <c r="I40" s="17" t="s">
        <v>244</v>
      </c>
      <c r="J40" s="17" t="s">
        <v>414</v>
      </c>
    </row>
    <row r="41" spans="1:10" x14ac:dyDescent="0.25">
      <c r="A41" s="17" t="s">
        <v>382</v>
      </c>
      <c r="B41" s="17" t="s">
        <v>383</v>
      </c>
      <c r="C41" s="17" t="s">
        <v>133</v>
      </c>
      <c r="D41" s="17" t="s">
        <v>283</v>
      </c>
      <c r="E41" s="17" t="s">
        <v>240</v>
      </c>
      <c r="F41" s="17" t="s">
        <v>415</v>
      </c>
      <c r="G41" s="17" t="s">
        <v>252</v>
      </c>
      <c r="H41" s="17" t="s">
        <v>243</v>
      </c>
      <c r="I41" s="17" t="s">
        <v>244</v>
      </c>
      <c r="J41" s="17" t="s">
        <v>385</v>
      </c>
    </row>
    <row r="42" spans="1:10" x14ac:dyDescent="0.25">
      <c r="A42" s="17" t="s">
        <v>416</v>
      </c>
      <c r="B42" s="17" t="s">
        <v>417</v>
      </c>
      <c r="C42" s="17" t="s">
        <v>133</v>
      </c>
      <c r="D42" s="17" t="s">
        <v>283</v>
      </c>
      <c r="E42" s="17" t="s">
        <v>289</v>
      </c>
      <c r="F42" s="17" t="s">
        <v>418</v>
      </c>
      <c r="G42" s="17" t="s">
        <v>252</v>
      </c>
      <c r="H42" s="17" t="s">
        <v>243</v>
      </c>
      <c r="I42" s="17" t="s">
        <v>244</v>
      </c>
      <c r="J42" s="17" t="s">
        <v>419</v>
      </c>
    </row>
    <row r="43" spans="1:10" x14ac:dyDescent="0.25">
      <c r="A43" s="17" t="s">
        <v>420</v>
      </c>
      <c r="B43" s="17" t="s">
        <v>421</v>
      </c>
      <c r="C43" s="17" t="s">
        <v>125</v>
      </c>
      <c r="D43" s="17" t="s">
        <v>327</v>
      </c>
      <c r="E43" s="17" t="s">
        <v>240</v>
      </c>
      <c r="F43" s="17" t="s">
        <v>422</v>
      </c>
      <c r="G43" s="17" t="s">
        <v>252</v>
      </c>
      <c r="H43" s="17" t="s">
        <v>253</v>
      </c>
      <c r="I43" s="17" t="s">
        <v>244</v>
      </c>
      <c r="J43" s="17" t="s">
        <v>423</v>
      </c>
    </row>
    <row r="44" spans="1:10" x14ac:dyDescent="0.25">
      <c r="A44" s="17" t="s">
        <v>424</v>
      </c>
      <c r="B44" s="17" t="s">
        <v>425</v>
      </c>
      <c r="C44" s="17" t="s">
        <v>135</v>
      </c>
      <c r="D44" s="17" t="s">
        <v>327</v>
      </c>
      <c r="E44" s="17" t="s">
        <v>240</v>
      </c>
      <c r="F44" s="17" t="s">
        <v>426</v>
      </c>
      <c r="G44" s="17" t="s">
        <v>252</v>
      </c>
      <c r="H44" s="17" t="s">
        <v>253</v>
      </c>
      <c r="I44" s="17" t="s">
        <v>244</v>
      </c>
      <c r="J44" s="17" t="s">
        <v>427</v>
      </c>
    </row>
    <row r="45" spans="1:10" x14ac:dyDescent="0.25">
      <c r="A45" s="17" t="s">
        <v>428</v>
      </c>
      <c r="B45" s="17" t="s">
        <v>429</v>
      </c>
      <c r="C45" s="17" t="s">
        <v>430</v>
      </c>
      <c r="D45" s="17" t="s">
        <v>258</v>
      </c>
      <c r="E45" s="17" t="s">
        <v>240</v>
      </c>
      <c r="F45" s="17" t="s">
        <v>431</v>
      </c>
      <c r="G45" s="17" t="s">
        <v>252</v>
      </c>
      <c r="H45" s="17" t="s">
        <v>266</v>
      </c>
      <c r="I45" s="17" t="s">
        <v>267</v>
      </c>
      <c r="J45" s="17" t="s">
        <v>432</v>
      </c>
    </row>
    <row r="46" spans="1:10" x14ac:dyDescent="0.25">
      <c r="A46" s="17" t="s">
        <v>433</v>
      </c>
      <c r="B46" s="17" t="s">
        <v>434</v>
      </c>
      <c r="C46" s="17" t="s">
        <v>72</v>
      </c>
      <c r="D46" s="17" t="s">
        <v>258</v>
      </c>
      <c r="E46" s="17" t="s">
        <v>240</v>
      </c>
      <c r="F46" s="17" t="s">
        <v>435</v>
      </c>
      <c r="G46" s="17" t="s">
        <v>252</v>
      </c>
      <c r="H46" s="17" t="s">
        <v>243</v>
      </c>
      <c r="I46" s="17" t="s">
        <v>244</v>
      </c>
      <c r="J46" s="17" t="s">
        <v>436</v>
      </c>
    </row>
    <row r="47" spans="1:10" x14ac:dyDescent="0.25">
      <c r="A47" s="17" t="s">
        <v>437</v>
      </c>
      <c r="B47" s="17" t="s">
        <v>438</v>
      </c>
      <c r="C47" s="17" t="s">
        <v>98</v>
      </c>
      <c r="D47" s="17" t="s">
        <v>258</v>
      </c>
      <c r="E47" s="17" t="s">
        <v>240</v>
      </c>
      <c r="F47" s="17" t="s">
        <v>439</v>
      </c>
      <c r="G47" s="17" t="s">
        <v>252</v>
      </c>
      <c r="H47" s="17" t="s">
        <v>266</v>
      </c>
      <c r="I47" s="17" t="s">
        <v>267</v>
      </c>
      <c r="J47" s="17" t="s">
        <v>296</v>
      </c>
    </row>
    <row r="48" spans="1:10" x14ac:dyDescent="0.25">
      <c r="A48" s="17" t="s">
        <v>440</v>
      </c>
      <c r="B48" s="17" t="s">
        <v>441</v>
      </c>
      <c r="C48" s="17" t="s">
        <v>91</v>
      </c>
      <c r="D48" s="17" t="s">
        <v>250</v>
      </c>
      <c r="E48" s="17" t="s">
        <v>240</v>
      </c>
      <c r="F48" s="17" t="s">
        <v>442</v>
      </c>
      <c r="G48" s="17" t="s">
        <v>252</v>
      </c>
      <c r="H48" s="17" t="s">
        <v>243</v>
      </c>
      <c r="I48" s="17" t="s">
        <v>244</v>
      </c>
      <c r="J48" s="17" t="s">
        <v>443</v>
      </c>
    </row>
    <row r="49" spans="1:10" x14ac:dyDescent="0.25">
      <c r="A49" s="17" t="s">
        <v>444</v>
      </c>
      <c r="B49" s="17" t="s">
        <v>445</v>
      </c>
      <c r="C49" s="17" t="s">
        <v>446</v>
      </c>
      <c r="D49" s="17" t="s">
        <v>283</v>
      </c>
      <c r="E49" s="17" t="s">
        <v>240</v>
      </c>
      <c r="F49" s="17" t="s">
        <v>447</v>
      </c>
      <c r="G49" s="17" t="s">
        <v>242</v>
      </c>
      <c r="H49" s="17" t="s">
        <v>260</v>
      </c>
      <c r="I49" s="17" t="s">
        <v>244</v>
      </c>
      <c r="J49" s="17" t="s">
        <v>448</v>
      </c>
    </row>
    <row r="50" spans="1:10" x14ac:dyDescent="0.25">
      <c r="A50" s="17" t="s">
        <v>449</v>
      </c>
      <c r="B50" s="17" t="s">
        <v>450</v>
      </c>
      <c r="C50" s="17" t="s">
        <v>107</v>
      </c>
      <c r="D50" s="17" t="s">
        <v>250</v>
      </c>
      <c r="E50" s="17" t="s">
        <v>240</v>
      </c>
      <c r="F50" s="17" t="s">
        <v>451</v>
      </c>
      <c r="G50" s="17" t="s">
        <v>252</v>
      </c>
      <c r="H50" s="17" t="s">
        <v>243</v>
      </c>
      <c r="I50" s="17" t="s">
        <v>244</v>
      </c>
      <c r="J50" s="17" t="s">
        <v>452</v>
      </c>
    </row>
    <row r="51" spans="1:10" x14ac:dyDescent="0.25">
      <c r="A51" s="17" t="s">
        <v>453</v>
      </c>
      <c r="B51" s="17" t="s">
        <v>454</v>
      </c>
      <c r="C51" s="17" t="s">
        <v>125</v>
      </c>
      <c r="D51" s="17" t="s">
        <v>327</v>
      </c>
      <c r="E51" s="17" t="s">
        <v>289</v>
      </c>
      <c r="F51" s="17" t="s">
        <v>455</v>
      </c>
      <c r="G51" s="17" t="s">
        <v>252</v>
      </c>
      <c r="H51" s="17" t="s">
        <v>243</v>
      </c>
      <c r="I51" s="17" t="s">
        <v>244</v>
      </c>
      <c r="J51" s="17" t="s">
        <v>456</v>
      </c>
    </row>
    <row r="52" spans="1:10" x14ac:dyDescent="0.25">
      <c r="A52" s="17" t="s">
        <v>457</v>
      </c>
      <c r="B52" s="17" t="s">
        <v>458</v>
      </c>
      <c r="C52" s="17" t="s">
        <v>66</v>
      </c>
      <c r="D52" s="17" t="s">
        <v>272</v>
      </c>
      <c r="E52" s="17" t="s">
        <v>289</v>
      </c>
      <c r="F52" s="17" t="s">
        <v>459</v>
      </c>
      <c r="G52" s="17" t="s">
        <v>252</v>
      </c>
      <c r="H52" s="17" t="s">
        <v>260</v>
      </c>
      <c r="I52" s="17" t="s">
        <v>244</v>
      </c>
      <c r="J52" s="17" t="s">
        <v>460</v>
      </c>
    </row>
    <row r="53" spans="1:10" x14ac:dyDescent="0.25">
      <c r="A53" s="17" t="s">
        <v>461</v>
      </c>
      <c r="B53" s="17" t="s">
        <v>450</v>
      </c>
      <c r="C53" s="17" t="s">
        <v>430</v>
      </c>
      <c r="D53" s="17" t="s">
        <v>258</v>
      </c>
      <c r="E53" s="17" t="s">
        <v>289</v>
      </c>
      <c r="F53" s="17" t="s">
        <v>462</v>
      </c>
      <c r="G53" s="17" t="s">
        <v>252</v>
      </c>
      <c r="H53" s="17" t="s">
        <v>243</v>
      </c>
      <c r="I53" s="17" t="s">
        <v>244</v>
      </c>
      <c r="J53" s="17" t="s">
        <v>463</v>
      </c>
    </row>
    <row r="54" spans="1:10" x14ac:dyDescent="0.25">
      <c r="A54" s="17" t="s">
        <v>464</v>
      </c>
      <c r="B54" s="17" t="s">
        <v>454</v>
      </c>
      <c r="C54" s="17" t="s">
        <v>135</v>
      </c>
      <c r="D54" s="17" t="s">
        <v>327</v>
      </c>
      <c r="E54" s="17" t="s">
        <v>240</v>
      </c>
      <c r="F54" s="17" t="s">
        <v>465</v>
      </c>
      <c r="G54" s="17" t="s">
        <v>252</v>
      </c>
      <c r="H54" s="17" t="s">
        <v>260</v>
      </c>
      <c r="I54" s="17" t="s">
        <v>244</v>
      </c>
      <c r="J54" s="17" t="s">
        <v>466</v>
      </c>
    </row>
    <row r="55" spans="1:10" x14ac:dyDescent="0.25">
      <c r="A55" s="17" t="s">
        <v>444</v>
      </c>
      <c r="B55" s="17" t="s">
        <v>445</v>
      </c>
      <c r="C55" s="17" t="s">
        <v>446</v>
      </c>
      <c r="D55" s="17" t="s">
        <v>283</v>
      </c>
      <c r="E55" s="17" t="s">
        <v>240</v>
      </c>
      <c r="F55" s="17" t="s">
        <v>447</v>
      </c>
      <c r="G55" s="17" t="s">
        <v>242</v>
      </c>
      <c r="H55" s="17" t="s">
        <v>260</v>
      </c>
      <c r="I55" s="17" t="s">
        <v>244</v>
      </c>
      <c r="J55" s="17" t="s">
        <v>448</v>
      </c>
    </row>
    <row r="56" spans="1:10" x14ac:dyDescent="0.25">
      <c r="A56" s="17" t="s">
        <v>467</v>
      </c>
      <c r="B56" s="17" t="s">
        <v>468</v>
      </c>
      <c r="C56" s="17" t="s">
        <v>127</v>
      </c>
      <c r="D56" s="17"/>
      <c r="E56" s="17" t="s">
        <v>240</v>
      </c>
      <c r="F56" s="17" t="s">
        <v>469</v>
      </c>
      <c r="G56" s="17" t="s">
        <v>252</v>
      </c>
      <c r="H56" s="17" t="s">
        <v>243</v>
      </c>
      <c r="I56" s="17" t="s">
        <v>244</v>
      </c>
      <c r="J56" s="17" t="s">
        <v>470</v>
      </c>
    </row>
    <row r="57" spans="1:10" x14ac:dyDescent="0.25">
      <c r="A57" s="17" t="s">
        <v>471</v>
      </c>
      <c r="B57" s="17" t="s">
        <v>472</v>
      </c>
      <c r="C57" s="17" t="s">
        <v>95</v>
      </c>
      <c r="D57" s="17" t="s">
        <v>272</v>
      </c>
      <c r="E57" s="17" t="s">
        <v>289</v>
      </c>
      <c r="F57" s="17" t="s">
        <v>473</v>
      </c>
      <c r="G57" s="17" t="s">
        <v>252</v>
      </c>
      <c r="H57" s="17" t="s">
        <v>266</v>
      </c>
      <c r="I57" s="17" t="s">
        <v>267</v>
      </c>
      <c r="J57" s="17" t="s">
        <v>474</v>
      </c>
    </row>
    <row r="58" spans="1:10" x14ac:dyDescent="0.25">
      <c r="A58" s="17" t="s">
        <v>475</v>
      </c>
      <c r="B58" s="17" t="s">
        <v>476</v>
      </c>
      <c r="C58" s="17" t="s">
        <v>379</v>
      </c>
      <c r="D58" s="17" t="s">
        <v>327</v>
      </c>
      <c r="E58" s="17" t="s">
        <v>240</v>
      </c>
      <c r="F58" s="17" t="s">
        <v>477</v>
      </c>
      <c r="G58" s="17" t="s">
        <v>252</v>
      </c>
      <c r="H58" s="17" t="s">
        <v>260</v>
      </c>
      <c r="I58" s="17" t="s">
        <v>244</v>
      </c>
      <c r="J58" s="17" t="s">
        <v>381</v>
      </c>
    </row>
    <row r="59" spans="1:10" x14ac:dyDescent="0.25">
      <c r="A59" s="17" t="s">
        <v>478</v>
      </c>
      <c r="B59" s="17" t="s">
        <v>468</v>
      </c>
      <c r="C59" s="17" t="s">
        <v>59</v>
      </c>
      <c r="D59" s="17" t="s">
        <v>250</v>
      </c>
      <c r="E59" s="17" t="s">
        <v>289</v>
      </c>
      <c r="F59" s="17" t="s">
        <v>479</v>
      </c>
      <c r="G59" s="17" t="s">
        <v>242</v>
      </c>
      <c r="H59" s="17" t="s">
        <v>253</v>
      </c>
      <c r="I59" s="17" t="s">
        <v>244</v>
      </c>
      <c r="J59" s="17" t="s">
        <v>480</v>
      </c>
    </row>
    <row r="60" spans="1:10" x14ac:dyDescent="0.25">
      <c r="A60" s="17" t="s">
        <v>481</v>
      </c>
      <c r="B60" s="17" t="s">
        <v>482</v>
      </c>
      <c r="C60" s="17" t="s">
        <v>98</v>
      </c>
      <c r="D60" s="17" t="s">
        <v>258</v>
      </c>
      <c r="E60" s="17" t="s">
        <v>240</v>
      </c>
      <c r="F60" s="17" t="s">
        <v>483</v>
      </c>
      <c r="G60" s="17" t="s">
        <v>252</v>
      </c>
      <c r="H60" s="17" t="s">
        <v>260</v>
      </c>
      <c r="I60" s="17" t="s">
        <v>244</v>
      </c>
      <c r="J60" s="17" t="s">
        <v>484</v>
      </c>
    </row>
    <row r="61" spans="1:10" x14ac:dyDescent="0.25">
      <c r="A61" s="17" t="s">
        <v>485</v>
      </c>
      <c r="B61" s="17" t="s">
        <v>486</v>
      </c>
      <c r="C61" s="17" t="s">
        <v>119</v>
      </c>
      <c r="D61" s="17" t="s">
        <v>272</v>
      </c>
      <c r="E61" s="17" t="s">
        <v>240</v>
      </c>
      <c r="F61" s="17" t="s">
        <v>487</v>
      </c>
      <c r="G61" s="17" t="s">
        <v>252</v>
      </c>
      <c r="H61" s="17" t="s">
        <v>260</v>
      </c>
      <c r="I61" s="17" t="s">
        <v>244</v>
      </c>
      <c r="J61" s="17" t="s">
        <v>488</v>
      </c>
    </row>
    <row r="62" spans="1:10" x14ac:dyDescent="0.25">
      <c r="A62" s="17" t="s">
        <v>489</v>
      </c>
      <c r="B62" s="17" t="s">
        <v>490</v>
      </c>
      <c r="C62" s="17" t="s">
        <v>491</v>
      </c>
      <c r="D62" s="17" t="s">
        <v>258</v>
      </c>
      <c r="E62" s="17" t="s">
        <v>240</v>
      </c>
      <c r="F62" s="17" t="s">
        <v>492</v>
      </c>
      <c r="G62" s="17" t="s">
        <v>252</v>
      </c>
      <c r="H62" s="17" t="s">
        <v>253</v>
      </c>
      <c r="I62" s="17" t="s">
        <v>244</v>
      </c>
      <c r="J62" s="17" t="s">
        <v>493</v>
      </c>
    </row>
    <row r="63" spans="1:10" x14ac:dyDescent="0.25">
      <c r="A63" s="17" t="s">
        <v>494</v>
      </c>
      <c r="B63" s="17" t="s">
        <v>482</v>
      </c>
      <c r="C63" s="17" t="s">
        <v>115</v>
      </c>
      <c r="D63" s="17" t="s">
        <v>327</v>
      </c>
      <c r="E63" s="17" t="s">
        <v>240</v>
      </c>
      <c r="F63" s="17" t="s">
        <v>495</v>
      </c>
      <c r="G63" s="17" t="s">
        <v>252</v>
      </c>
      <c r="H63" s="17" t="s">
        <v>253</v>
      </c>
      <c r="I63" s="17" t="s">
        <v>244</v>
      </c>
      <c r="J63" s="17" t="s">
        <v>496</v>
      </c>
    </row>
    <row r="64" spans="1:10" x14ac:dyDescent="0.25">
      <c r="A64" s="17" t="s">
        <v>497</v>
      </c>
      <c r="B64" s="17" t="s">
        <v>498</v>
      </c>
      <c r="C64" s="17" t="s">
        <v>59</v>
      </c>
      <c r="D64" s="17" t="s">
        <v>250</v>
      </c>
      <c r="E64" s="17" t="s">
        <v>240</v>
      </c>
      <c r="F64" s="17" t="s">
        <v>499</v>
      </c>
      <c r="G64" s="17" t="s">
        <v>252</v>
      </c>
      <c r="H64" s="17" t="s">
        <v>266</v>
      </c>
      <c r="I64" s="17" t="s">
        <v>267</v>
      </c>
      <c r="J64" s="17" t="s">
        <v>268</v>
      </c>
    </row>
    <row r="65" spans="1:10" x14ac:dyDescent="0.25">
      <c r="A65" s="17" t="s">
        <v>500</v>
      </c>
      <c r="B65" s="17" t="s">
        <v>501</v>
      </c>
      <c r="C65" s="17" t="s">
        <v>147</v>
      </c>
      <c r="D65" s="17" t="s">
        <v>272</v>
      </c>
      <c r="E65" s="17" t="s">
        <v>240</v>
      </c>
      <c r="F65" s="17" t="s">
        <v>502</v>
      </c>
      <c r="G65" s="17" t="s">
        <v>252</v>
      </c>
      <c r="H65" s="17" t="s">
        <v>253</v>
      </c>
      <c r="I65" s="17" t="s">
        <v>244</v>
      </c>
      <c r="J65" s="17" t="s">
        <v>503</v>
      </c>
    </row>
    <row r="66" spans="1:10" x14ac:dyDescent="0.25">
      <c r="A66" s="17" t="s">
        <v>504</v>
      </c>
      <c r="B66" s="17" t="s">
        <v>505</v>
      </c>
      <c r="C66" s="17" t="s">
        <v>318</v>
      </c>
      <c r="D66" s="17" t="s">
        <v>258</v>
      </c>
      <c r="E66" s="17" t="s">
        <v>289</v>
      </c>
      <c r="F66" s="17" t="s">
        <v>506</v>
      </c>
      <c r="G66" s="17" t="s">
        <v>252</v>
      </c>
      <c r="H66" s="17" t="s">
        <v>266</v>
      </c>
      <c r="I66" s="17" t="s">
        <v>267</v>
      </c>
      <c r="J66" s="17" t="s">
        <v>432</v>
      </c>
    </row>
    <row r="67" spans="1:10" x14ac:dyDescent="0.25">
      <c r="A67" s="17" t="s">
        <v>507</v>
      </c>
      <c r="B67" s="17" t="s">
        <v>498</v>
      </c>
      <c r="C67" s="17" t="s">
        <v>111</v>
      </c>
      <c r="D67" s="17" t="s">
        <v>258</v>
      </c>
      <c r="E67" s="17" t="s">
        <v>240</v>
      </c>
      <c r="F67" s="17" t="s">
        <v>508</v>
      </c>
      <c r="G67" s="17" t="s">
        <v>252</v>
      </c>
      <c r="H67" s="17" t="s">
        <v>266</v>
      </c>
      <c r="I67" s="17" t="s">
        <v>267</v>
      </c>
      <c r="J67" s="17" t="s">
        <v>509</v>
      </c>
    </row>
    <row r="68" spans="1:10" x14ac:dyDescent="0.25">
      <c r="A68" s="17" t="s">
        <v>510</v>
      </c>
      <c r="B68" s="17" t="s">
        <v>511</v>
      </c>
      <c r="C68" s="17" t="s">
        <v>95</v>
      </c>
      <c r="D68" s="17" t="s">
        <v>272</v>
      </c>
      <c r="E68" s="17" t="s">
        <v>240</v>
      </c>
      <c r="F68" s="17" t="s">
        <v>512</v>
      </c>
      <c r="G68" s="17" t="s">
        <v>242</v>
      </c>
      <c r="H68" s="17" t="s">
        <v>266</v>
      </c>
      <c r="I68" s="17" t="s">
        <v>267</v>
      </c>
      <c r="J68" s="17" t="s">
        <v>513</v>
      </c>
    </row>
    <row r="69" spans="1:10" x14ac:dyDescent="0.25">
      <c r="A69" s="17" t="s">
        <v>514</v>
      </c>
      <c r="B69" s="17" t="s">
        <v>515</v>
      </c>
      <c r="C69" s="17" t="s">
        <v>123</v>
      </c>
      <c r="D69" s="17" t="s">
        <v>272</v>
      </c>
      <c r="E69" s="17" t="s">
        <v>240</v>
      </c>
      <c r="F69" s="17" t="s">
        <v>516</v>
      </c>
      <c r="G69" s="17" t="s">
        <v>252</v>
      </c>
      <c r="H69" s="17" t="s">
        <v>243</v>
      </c>
      <c r="I69" s="17" t="s">
        <v>244</v>
      </c>
      <c r="J69" s="17" t="s">
        <v>456</v>
      </c>
    </row>
    <row r="70" spans="1:10" x14ac:dyDescent="0.25">
      <c r="A70" s="17" t="s">
        <v>517</v>
      </c>
      <c r="B70" s="17" t="s">
        <v>518</v>
      </c>
      <c r="C70" s="17" t="s">
        <v>519</v>
      </c>
      <c r="D70" s="17" t="s">
        <v>258</v>
      </c>
      <c r="E70" s="17" t="s">
        <v>240</v>
      </c>
      <c r="F70" s="17" t="s">
        <v>520</v>
      </c>
      <c r="G70" s="17" t="s">
        <v>252</v>
      </c>
      <c r="H70" s="17" t="s">
        <v>253</v>
      </c>
      <c r="I70" s="17" t="s">
        <v>244</v>
      </c>
      <c r="J70" s="17" t="s">
        <v>521</v>
      </c>
    </row>
    <row r="71" spans="1:10" x14ac:dyDescent="0.25">
      <c r="A71" s="17" t="s">
        <v>522</v>
      </c>
      <c r="B71" s="17" t="s">
        <v>511</v>
      </c>
      <c r="C71" s="17" t="s">
        <v>127</v>
      </c>
      <c r="D71" s="17" t="s">
        <v>250</v>
      </c>
      <c r="E71" s="17" t="s">
        <v>240</v>
      </c>
      <c r="F71" s="17" t="s">
        <v>523</v>
      </c>
      <c r="G71" s="17" t="s">
        <v>252</v>
      </c>
      <c r="H71" s="17" t="s">
        <v>260</v>
      </c>
      <c r="I71" s="17" t="s">
        <v>244</v>
      </c>
      <c r="J71" s="17" t="s">
        <v>524</v>
      </c>
    </row>
    <row r="72" spans="1:10" x14ac:dyDescent="0.25">
      <c r="A72" s="17" t="s">
        <v>525</v>
      </c>
      <c r="B72" s="17" t="s">
        <v>515</v>
      </c>
      <c r="C72" s="17" t="s">
        <v>104</v>
      </c>
      <c r="D72" s="17" t="s">
        <v>327</v>
      </c>
      <c r="E72" s="17" t="s">
        <v>289</v>
      </c>
      <c r="F72" s="17" t="s">
        <v>526</v>
      </c>
      <c r="G72" s="17" t="s">
        <v>252</v>
      </c>
      <c r="H72" s="17" t="s">
        <v>260</v>
      </c>
      <c r="I72" s="17" t="s">
        <v>244</v>
      </c>
      <c r="J72" s="17" t="s">
        <v>389</v>
      </c>
    </row>
    <row r="73" spans="1:10" x14ac:dyDescent="0.25">
      <c r="A73" s="17" t="s">
        <v>527</v>
      </c>
      <c r="B73" s="17" t="s">
        <v>518</v>
      </c>
      <c r="C73" s="17" t="s">
        <v>101</v>
      </c>
      <c r="D73" s="17"/>
      <c r="E73" s="17" t="s">
        <v>240</v>
      </c>
      <c r="F73" s="17" t="s">
        <v>528</v>
      </c>
      <c r="G73" s="17" t="s">
        <v>252</v>
      </c>
      <c r="H73" s="17" t="s">
        <v>260</v>
      </c>
      <c r="I73" s="17" t="s">
        <v>244</v>
      </c>
      <c r="J73" s="17" t="s">
        <v>529</v>
      </c>
    </row>
    <row r="74" spans="1:10" x14ac:dyDescent="0.25">
      <c r="A74" s="17" t="s">
        <v>530</v>
      </c>
      <c r="B74" s="17" t="s">
        <v>531</v>
      </c>
      <c r="C74" s="17" t="s">
        <v>363</v>
      </c>
      <c r="D74" s="17" t="s">
        <v>250</v>
      </c>
      <c r="E74" s="17" t="s">
        <v>289</v>
      </c>
      <c r="F74" s="17" t="s">
        <v>532</v>
      </c>
      <c r="G74" s="17" t="s">
        <v>252</v>
      </c>
      <c r="H74" s="17" t="s">
        <v>243</v>
      </c>
      <c r="I74" s="17" t="s">
        <v>244</v>
      </c>
      <c r="J74" s="17" t="s">
        <v>533</v>
      </c>
    </row>
    <row r="75" spans="1:10" x14ac:dyDescent="0.25">
      <c r="A75" s="17" t="s">
        <v>534</v>
      </c>
      <c r="B75" s="17" t="s">
        <v>535</v>
      </c>
      <c r="C75" s="17" t="s">
        <v>117</v>
      </c>
      <c r="D75" s="17" t="s">
        <v>250</v>
      </c>
      <c r="E75" s="17" t="s">
        <v>289</v>
      </c>
      <c r="F75" s="17" t="s">
        <v>536</v>
      </c>
      <c r="G75" s="17" t="s">
        <v>252</v>
      </c>
      <c r="H75" s="17" t="s">
        <v>243</v>
      </c>
      <c r="I75" s="17" t="s">
        <v>244</v>
      </c>
      <c r="J75" s="17" t="s">
        <v>537</v>
      </c>
    </row>
    <row r="76" spans="1:10" x14ac:dyDescent="0.25">
      <c r="A76" s="17" t="s">
        <v>538</v>
      </c>
      <c r="B76" s="17" t="s">
        <v>539</v>
      </c>
      <c r="C76" s="17" t="s">
        <v>66</v>
      </c>
      <c r="D76" s="17" t="s">
        <v>272</v>
      </c>
      <c r="E76" s="17" t="s">
        <v>240</v>
      </c>
      <c r="F76" s="17" t="s">
        <v>540</v>
      </c>
      <c r="G76" s="17" t="s">
        <v>252</v>
      </c>
      <c r="H76" s="17" t="s">
        <v>266</v>
      </c>
      <c r="I76" s="17" t="s">
        <v>267</v>
      </c>
      <c r="J76" s="17" t="s">
        <v>541</v>
      </c>
    </row>
    <row r="77" spans="1:10" x14ac:dyDescent="0.25">
      <c r="A77" s="17" t="s">
        <v>542</v>
      </c>
      <c r="B77" s="17" t="s">
        <v>531</v>
      </c>
      <c r="C77" s="17" t="s">
        <v>107</v>
      </c>
      <c r="D77" s="17" t="s">
        <v>250</v>
      </c>
      <c r="E77" s="17" t="s">
        <v>240</v>
      </c>
      <c r="F77" s="17" t="s">
        <v>543</v>
      </c>
      <c r="G77" s="17" t="s">
        <v>242</v>
      </c>
      <c r="H77" s="17" t="s">
        <v>260</v>
      </c>
      <c r="I77" s="17" t="s">
        <v>244</v>
      </c>
      <c r="J77" s="17" t="s">
        <v>544</v>
      </c>
    </row>
    <row r="78" spans="1:10" x14ac:dyDescent="0.25">
      <c r="A78" s="17" t="s">
        <v>545</v>
      </c>
      <c r="B78" s="17" t="s">
        <v>535</v>
      </c>
      <c r="C78" s="17" t="s">
        <v>491</v>
      </c>
      <c r="D78" s="17" t="s">
        <v>258</v>
      </c>
      <c r="E78" s="17" t="s">
        <v>240</v>
      </c>
      <c r="F78" s="17" t="s">
        <v>546</v>
      </c>
      <c r="G78" s="17" t="s">
        <v>252</v>
      </c>
      <c r="H78" s="17" t="s">
        <v>266</v>
      </c>
      <c r="I78" s="17" t="s">
        <v>267</v>
      </c>
      <c r="J78" s="17" t="s">
        <v>432</v>
      </c>
    </row>
    <row r="79" spans="1:10" x14ac:dyDescent="0.25">
      <c r="A79" s="17" t="s">
        <v>547</v>
      </c>
      <c r="B79" s="17" t="s">
        <v>548</v>
      </c>
      <c r="C79" s="17" t="s">
        <v>117</v>
      </c>
      <c r="D79" s="17" t="s">
        <v>250</v>
      </c>
      <c r="E79" s="17" t="s">
        <v>289</v>
      </c>
      <c r="F79" s="17" t="s">
        <v>549</v>
      </c>
      <c r="G79" s="17" t="s">
        <v>252</v>
      </c>
      <c r="H79" s="17" t="s">
        <v>260</v>
      </c>
      <c r="I79" s="17" t="s">
        <v>244</v>
      </c>
      <c r="J79" s="17" t="s">
        <v>550</v>
      </c>
    </row>
    <row r="80" spans="1:10" x14ac:dyDescent="0.25">
      <c r="A80" s="17" t="s">
        <v>551</v>
      </c>
      <c r="B80" s="17" t="s">
        <v>552</v>
      </c>
      <c r="C80" s="17" t="s">
        <v>129</v>
      </c>
      <c r="D80" s="17" t="s">
        <v>272</v>
      </c>
      <c r="E80" s="17" t="s">
        <v>240</v>
      </c>
      <c r="F80" s="17" t="s">
        <v>553</v>
      </c>
      <c r="G80" s="17" t="s">
        <v>252</v>
      </c>
      <c r="H80" s="17" t="s">
        <v>243</v>
      </c>
      <c r="I80" s="17" t="s">
        <v>244</v>
      </c>
      <c r="J80" s="17" t="s">
        <v>554</v>
      </c>
    </row>
    <row r="81" spans="1:10" x14ac:dyDescent="0.25">
      <c r="A81" s="17" t="s">
        <v>555</v>
      </c>
      <c r="B81" s="17" t="s">
        <v>556</v>
      </c>
      <c r="C81" s="17" t="s">
        <v>66</v>
      </c>
      <c r="D81" s="17" t="s">
        <v>272</v>
      </c>
      <c r="E81" s="17" t="s">
        <v>289</v>
      </c>
      <c r="F81" s="17" t="s">
        <v>557</v>
      </c>
      <c r="G81" s="17" t="s">
        <v>252</v>
      </c>
      <c r="H81" s="17" t="s">
        <v>253</v>
      </c>
      <c r="I81" s="17" t="s">
        <v>244</v>
      </c>
      <c r="J81" s="17" t="s">
        <v>358</v>
      </c>
    </row>
    <row r="82" spans="1:10" x14ac:dyDescent="0.25">
      <c r="A82" s="17" t="s">
        <v>558</v>
      </c>
      <c r="B82" s="17" t="s">
        <v>559</v>
      </c>
      <c r="C82" s="17" t="s">
        <v>335</v>
      </c>
      <c r="D82" s="17" t="s">
        <v>250</v>
      </c>
      <c r="E82" s="17" t="s">
        <v>289</v>
      </c>
      <c r="F82" s="17" t="s">
        <v>560</v>
      </c>
      <c r="G82" s="17" t="s">
        <v>252</v>
      </c>
      <c r="H82" s="17" t="s">
        <v>243</v>
      </c>
      <c r="I82" s="17" t="s">
        <v>244</v>
      </c>
      <c r="J82" s="17" t="s">
        <v>561</v>
      </c>
    </row>
    <row r="83" spans="1:10" x14ac:dyDescent="0.25">
      <c r="A83" s="17" t="s">
        <v>562</v>
      </c>
      <c r="B83" s="17" t="s">
        <v>563</v>
      </c>
      <c r="C83" s="17" t="s">
        <v>127</v>
      </c>
      <c r="D83" s="17" t="s">
        <v>250</v>
      </c>
      <c r="E83" s="17" t="s">
        <v>289</v>
      </c>
      <c r="F83" s="17" t="s">
        <v>564</v>
      </c>
      <c r="G83" s="17" t="s">
        <v>252</v>
      </c>
      <c r="H83" s="17" t="s">
        <v>266</v>
      </c>
      <c r="I83" s="17" t="s">
        <v>267</v>
      </c>
      <c r="J83" s="17" t="s">
        <v>565</v>
      </c>
    </row>
    <row r="84" spans="1:10" x14ac:dyDescent="0.25">
      <c r="A84" s="17" t="s">
        <v>566</v>
      </c>
      <c r="B84" s="17" t="s">
        <v>567</v>
      </c>
      <c r="C84" s="17" t="s">
        <v>91</v>
      </c>
      <c r="D84" s="17" t="s">
        <v>250</v>
      </c>
      <c r="E84" s="17" t="s">
        <v>289</v>
      </c>
      <c r="F84" s="17" t="s">
        <v>568</v>
      </c>
      <c r="G84" s="17" t="s">
        <v>252</v>
      </c>
      <c r="H84" s="17" t="s">
        <v>266</v>
      </c>
      <c r="I84" s="17" t="s">
        <v>267</v>
      </c>
      <c r="J84" s="17" t="s">
        <v>268</v>
      </c>
    </row>
    <row r="85" spans="1:10" x14ac:dyDescent="0.25">
      <c r="A85" s="17" t="s">
        <v>569</v>
      </c>
      <c r="B85" s="17" t="s">
        <v>570</v>
      </c>
      <c r="C85" s="17" t="s">
        <v>129</v>
      </c>
      <c r="D85" s="17" t="s">
        <v>272</v>
      </c>
      <c r="E85" s="17" t="s">
        <v>240</v>
      </c>
      <c r="F85" s="17" t="s">
        <v>571</v>
      </c>
      <c r="G85" s="17" t="s">
        <v>252</v>
      </c>
      <c r="H85" s="17" t="s">
        <v>253</v>
      </c>
      <c r="I85" s="17" t="s">
        <v>244</v>
      </c>
      <c r="J85" s="17" t="s">
        <v>572</v>
      </c>
    </row>
    <row r="86" spans="1:10" x14ac:dyDescent="0.25">
      <c r="A86" s="17" t="s">
        <v>573</v>
      </c>
      <c r="B86" s="17" t="s">
        <v>574</v>
      </c>
      <c r="C86" s="17" t="s">
        <v>412</v>
      </c>
      <c r="D86" s="17" t="s">
        <v>283</v>
      </c>
      <c r="E86" s="17" t="s">
        <v>240</v>
      </c>
      <c r="F86" s="17" t="s">
        <v>575</v>
      </c>
      <c r="G86" s="17" t="s">
        <v>242</v>
      </c>
      <c r="H86" s="17" t="s">
        <v>253</v>
      </c>
      <c r="I86" s="17" t="s">
        <v>244</v>
      </c>
      <c r="J86" s="17" t="s">
        <v>576</v>
      </c>
    </row>
    <row r="87" spans="1:10" x14ac:dyDescent="0.25">
      <c r="A87" s="17" t="s">
        <v>577</v>
      </c>
      <c r="B87" s="17" t="s">
        <v>578</v>
      </c>
      <c r="C87" s="17" t="s">
        <v>104</v>
      </c>
      <c r="D87" s="17" t="s">
        <v>327</v>
      </c>
      <c r="E87" s="17" t="s">
        <v>240</v>
      </c>
      <c r="F87" s="17" t="s">
        <v>579</v>
      </c>
      <c r="G87" s="17" t="s">
        <v>252</v>
      </c>
      <c r="H87" s="17" t="s">
        <v>243</v>
      </c>
      <c r="I87" s="17" t="s">
        <v>244</v>
      </c>
      <c r="J87" s="17" t="s">
        <v>580</v>
      </c>
    </row>
    <row r="88" spans="1:10" x14ac:dyDescent="0.25">
      <c r="A88" s="17" t="s">
        <v>558</v>
      </c>
      <c r="B88" s="17" t="s">
        <v>559</v>
      </c>
      <c r="C88" s="17" t="s">
        <v>335</v>
      </c>
      <c r="D88" s="17" t="s">
        <v>250</v>
      </c>
      <c r="E88" s="17" t="s">
        <v>289</v>
      </c>
      <c r="F88" s="17" t="s">
        <v>560</v>
      </c>
      <c r="G88" s="17" t="s">
        <v>252</v>
      </c>
      <c r="H88" s="17" t="s">
        <v>243</v>
      </c>
      <c r="I88" s="17" t="s">
        <v>244</v>
      </c>
      <c r="J88" s="17" t="s">
        <v>561</v>
      </c>
    </row>
    <row r="89" spans="1:10" x14ac:dyDescent="0.25">
      <c r="A89" s="17" t="s">
        <v>581</v>
      </c>
      <c r="B89" s="17" t="s">
        <v>582</v>
      </c>
      <c r="C89" s="17" t="s">
        <v>72</v>
      </c>
      <c r="D89" s="17" t="s">
        <v>272</v>
      </c>
      <c r="E89" s="17" t="s">
        <v>240</v>
      </c>
      <c r="F89" s="17" t="s">
        <v>583</v>
      </c>
      <c r="G89" s="17" t="s">
        <v>252</v>
      </c>
      <c r="H89" s="17" t="s">
        <v>243</v>
      </c>
      <c r="I89" s="17" t="s">
        <v>244</v>
      </c>
      <c r="J89" s="17" t="s">
        <v>584</v>
      </c>
    </row>
    <row r="90" spans="1:10" x14ac:dyDescent="0.25">
      <c r="A90" s="17" t="s">
        <v>585</v>
      </c>
      <c r="B90" s="17" t="s">
        <v>586</v>
      </c>
      <c r="C90" s="17" t="s">
        <v>121</v>
      </c>
      <c r="D90" s="17" t="s">
        <v>258</v>
      </c>
      <c r="E90" s="17" t="s">
        <v>240</v>
      </c>
      <c r="F90" s="17" t="s">
        <v>587</v>
      </c>
      <c r="G90" s="17" t="s">
        <v>252</v>
      </c>
      <c r="H90" s="17" t="s">
        <v>243</v>
      </c>
      <c r="I90" s="17" t="s">
        <v>244</v>
      </c>
      <c r="J90" s="17" t="s">
        <v>588</v>
      </c>
    </row>
    <row r="91" spans="1:10" x14ac:dyDescent="0.25">
      <c r="A91" s="17" t="s">
        <v>589</v>
      </c>
      <c r="B91" s="17" t="s">
        <v>590</v>
      </c>
      <c r="C91" s="17" t="s">
        <v>591</v>
      </c>
      <c r="D91" s="17"/>
      <c r="E91" s="17" t="s">
        <v>240</v>
      </c>
      <c r="F91" s="17" t="s">
        <v>592</v>
      </c>
      <c r="G91" s="17" t="s">
        <v>252</v>
      </c>
      <c r="H91" s="17" t="s">
        <v>243</v>
      </c>
      <c r="I91" s="17" t="s">
        <v>244</v>
      </c>
      <c r="J91" s="17" t="s">
        <v>593</v>
      </c>
    </row>
    <row r="92" spans="1:10" x14ac:dyDescent="0.25">
      <c r="A92" s="17" t="s">
        <v>594</v>
      </c>
      <c r="B92" s="17" t="s">
        <v>595</v>
      </c>
      <c r="C92" s="17" t="s">
        <v>127</v>
      </c>
      <c r="D92" s="17" t="s">
        <v>250</v>
      </c>
      <c r="E92" s="17" t="s">
        <v>240</v>
      </c>
      <c r="F92" s="17" t="s">
        <v>596</v>
      </c>
      <c r="G92" s="17" t="s">
        <v>252</v>
      </c>
      <c r="H92" s="17" t="s">
        <v>266</v>
      </c>
      <c r="I92" s="17" t="s">
        <v>267</v>
      </c>
      <c r="J92" s="17" t="s">
        <v>597</v>
      </c>
    </row>
    <row r="93" spans="1:10" x14ac:dyDescent="0.25">
      <c r="A93" s="17" t="s">
        <v>598</v>
      </c>
      <c r="B93" s="17" t="s">
        <v>599</v>
      </c>
      <c r="C93" s="17" t="s">
        <v>107</v>
      </c>
      <c r="D93" s="17" t="s">
        <v>250</v>
      </c>
      <c r="E93" s="17" t="s">
        <v>240</v>
      </c>
      <c r="F93" s="17" t="s">
        <v>600</v>
      </c>
      <c r="G93" s="17" t="s">
        <v>252</v>
      </c>
      <c r="H93" s="17" t="s">
        <v>243</v>
      </c>
      <c r="I93" s="17" t="s">
        <v>244</v>
      </c>
      <c r="J93" s="17" t="s">
        <v>470</v>
      </c>
    </row>
    <row r="94" spans="1:10" x14ac:dyDescent="0.25">
      <c r="A94" s="17" t="s">
        <v>601</v>
      </c>
      <c r="B94" s="17" t="s">
        <v>602</v>
      </c>
      <c r="C94" s="17" t="s">
        <v>119</v>
      </c>
      <c r="D94" s="17" t="s">
        <v>272</v>
      </c>
      <c r="E94" s="17" t="s">
        <v>240</v>
      </c>
      <c r="F94" s="17" t="s">
        <v>603</v>
      </c>
      <c r="G94" s="17" t="s">
        <v>252</v>
      </c>
      <c r="H94" s="17" t="s">
        <v>266</v>
      </c>
      <c r="I94" s="17" t="s">
        <v>267</v>
      </c>
      <c r="J94" s="17" t="s">
        <v>604</v>
      </c>
    </row>
    <row r="95" spans="1:10" x14ac:dyDescent="0.25">
      <c r="A95" s="17" t="s">
        <v>605</v>
      </c>
      <c r="B95" s="17" t="s">
        <v>606</v>
      </c>
      <c r="C95" s="17" t="s">
        <v>607</v>
      </c>
      <c r="D95" s="17" t="s">
        <v>272</v>
      </c>
      <c r="E95" s="17" t="s">
        <v>240</v>
      </c>
      <c r="F95" s="17" t="s">
        <v>608</v>
      </c>
      <c r="G95" s="17" t="s">
        <v>252</v>
      </c>
      <c r="H95" s="17" t="s">
        <v>260</v>
      </c>
      <c r="I95" s="17" t="s">
        <v>244</v>
      </c>
      <c r="J95" s="17" t="s">
        <v>609</v>
      </c>
    </row>
    <row r="96" spans="1:10" x14ac:dyDescent="0.25">
      <c r="A96" s="17" t="s">
        <v>610</v>
      </c>
      <c r="B96" s="17" t="s">
        <v>599</v>
      </c>
      <c r="C96" s="17" t="s">
        <v>78</v>
      </c>
      <c r="D96" s="17" t="s">
        <v>283</v>
      </c>
      <c r="E96" s="17" t="s">
        <v>240</v>
      </c>
      <c r="F96" s="17" t="s">
        <v>611</v>
      </c>
      <c r="G96" s="17" t="s">
        <v>242</v>
      </c>
      <c r="H96" s="17" t="s">
        <v>266</v>
      </c>
      <c r="I96" s="17" t="s">
        <v>267</v>
      </c>
      <c r="J96" s="17" t="s">
        <v>612</v>
      </c>
    </row>
    <row r="97" spans="1:10" x14ac:dyDescent="0.25">
      <c r="A97" s="17" t="s">
        <v>613</v>
      </c>
      <c r="B97" s="17" t="s">
        <v>602</v>
      </c>
      <c r="C97" s="17" t="s">
        <v>135</v>
      </c>
      <c r="D97" s="17" t="s">
        <v>327</v>
      </c>
      <c r="E97" s="17" t="s">
        <v>289</v>
      </c>
      <c r="F97" s="17" t="s">
        <v>614</v>
      </c>
      <c r="G97" s="17" t="s">
        <v>252</v>
      </c>
      <c r="H97" s="17" t="s">
        <v>260</v>
      </c>
      <c r="I97" s="17" t="s">
        <v>244</v>
      </c>
      <c r="J97" s="17" t="s">
        <v>615</v>
      </c>
    </row>
    <row r="98" spans="1:10" x14ac:dyDescent="0.25">
      <c r="A98" s="17" t="s">
        <v>616</v>
      </c>
      <c r="B98" s="17" t="s">
        <v>606</v>
      </c>
      <c r="C98" s="17" t="s">
        <v>125</v>
      </c>
      <c r="D98" s="17" t="s">
        <v>327</v>
      </c>
      <c r="E98" s="17" t="s">
        <v>240</v>
      </c>
      <c r="F98" s="17" t="s">
        <v>617</v>
      </c>
      <c r="G98" s="17" t="s">
        <v>252</v>
      </c>
      <c r="H98" s="17" t="s">
        <v>260</v>
      </c>
      <c r="I98" s="17" t="s">
        <v>244</v>
      </c>
      <c r="J98" s="17" t="s">
        <v>389</v>
      </c>
    </row>
    <row r="99" spans="1:10" x14ac:dyDescent="0.25">
      <c r="A99" s="17" t="s">
        <v>618</v>
      </c>
      <c r="B99" s="17" t="s">
        <v>599</v>
      </c>
      <c r="C99" s="17" t="s">
        <v>363</v>
      </c>
      <c r="D99" s="17" t="s">
        <v>250</v>
      </c>
      <c r="E99" s="17" t="s">
        <v>240</v>
      </c>
      <c r="F99" s="17" t="s">
        <v>619</v>
      </c>
      <c r="G99" s="17" t="s">
        <v>252</v>
      </c>
      <c r="H99" s="17" t="s">
        <v>253</v>
      </c>
      <c r="I99" s="17" t="s">
        <v>244</v>
      </c>
      <c r="J99" s="17" t="s">
        <v>254</v>
      </c>
    </row>
    <row r="100" spans="1:10" x14ac:dyDescent="0.25">
      <c r="A100" s="17" t="s">
        <v>620</v>
      </c>
      <c r="B100" s="17" t="s">
        <v>621</v>
      </c>
      <c r="C100" s="17" t="s">
        <v>66</v>
      </c>
      <c r="D100" s="17" t="s">
        <v>272</v>
      </c>
      <c r="E100" s="17" t="s">
        <v>240</v>
      </c>
      <c r="F100" s="17" t="s">
        <v>622</v>
      </c>
      <c r="G100" s="17" t="s">
        <v>252</v>
      </c>
      <c r="H100" s="17" t="s">
        <v>253</v>
      </c>
      <c r="I100" s="17" t="s">
        <v>244</v>
      </c>
      <c r="J100" s="17" t="s">
        <v>623</v>
      </c>
    </row>
    <row r="101" spans="1:10" x14ac:dyDescent="0.25">
      <c r="A101" s="17" t="s">
        <v>624</v>
      </c>
      <c r="B101" s="17" t="s">
        <v>625</v>
      </c>
      <c r="C101" s="17" t="s">
        <v>121</v>
      </c>
      <c r="D101" s="17" t="s">
        <v>258</v>
      </c>
      <c r="E101" s="17" t="s">
        <v>240</v>
      </c>
      <c r="F101" s="17" t="s">
        <v>626</v>
      </c>
      <c r="G101" s="17" t="s">
        <v>252</v>
      </c>
      <c r="H101" s="17" t="s">
        <v>266</v>
      </c>
      <c r="I101" s="17" t="s">
        <v>267</v>
      </c>
      <c r="J101" s="17" t="s">
        <v>627</v>
      </c>
    </row>
    <row r="102" spans="1:10" x14ac:dyDescent="0.25">
      <c r="A102" s="17" t="s">
        <v>628</v>
      </c>
      <c r="B102" s="17" t="s">
        <v>629</v>
      </c>
      <c r="C102" s="17" t="s">
        <v>113</v>
      </c>
      <c r="D102" s="17" t="s">
        <v>283</v>
      </c>
      <c r="E102" s="17" t="s">
        <v>289</v>
      </c>
      <c r="F102" s="17" t="s">
        <v>630</v>
      </c>
      <c r="G102" s="17" t="s">
        <v>252</v>
      </c>
      <c r="H102" s="17" t="s">
        <v>260</v>
      </c>
      <c r="I102" s="17" t="s">
        <v>244</v>
      </c>
      <c r="J102" s="17" t="s">
        <v>631</v>
      </c>
    </row>
    <row r="103" spans="1:10" x14ac:dyDescent="0.25">
      <c r="A103" s="17" t="s">
        <v>632</v>
      </c>
      <c r="B103" s="17" t="s">
        <v>633</v>
      </c>
      <c r="C103" s="17" t="s">
        <v>300</v>
      </c>
      <c r="D103" s="17" t="s">
        <v>272</v>
      </c>
      <c r="E103" s="17" t="s">
        <v>289</v>
      </c>
      <c r="F103" s="17" t="s">
        <v>634</v>
      </c>
      <c r="G103" s="17" t="s">
        <v>252</v>
      </c>
      <c r="H103" s="17" t="s">
        <v>266</v>
      </c>
      <c r="I103" s="17" t="s">
        <v>267</v>
      </c>
      <c r="J103" s="17" t="s">
        <v>302</v>
      </c>
    </row>
    <row r="104" spans="1:10" x14ac:dyDescent="0.25">
      <c r="A104" s="17" t="s">
        <v>610</v>
      </c>
      <c r="B104" s="17" t="s">
        <v>599</v>
      </c>
      <c r="C104" s="17" t="s">
        <v>78</v>
      </c>
      <c r="D104" s="17" t="s">
        <v>283</v>
      </c>
      <c r="E104" s="17" t="s">
        <v>240</v>
      </c>
      <c r="F104" s="17" t="s">
        <v>635</v>
      </c>
      <c r="G104" s="17" t="s">
        <v>242</v>
      </c>
      <c r="H104" s="17" t="s">
        <v>266</v>
      </c>
      <c r="I104" s="17" t="s">
        <v>267</v>
      </c>
      <c r="J104" s="17" t="s">
        <v>612</v>
      </c>
    </row>
    <row r="105" spans="1:10" x14ac:dyDescent="0.25">
      <c r="A105" s="17" t="s">
        <v>636</v>
      </c>
      <c r="B105" s="17" t="s">
        <v>637</v>
      </c>
      <c r="C105" s="17" t="s">
        <v>131</v>
      </c>
      <c r="D105" s="17" t="s">
        <v>258</v>
      </c>
      <c r="E105" s="17" t="s">
        <v>240</v>
      </c>
      <c r="F105" s="17" t="s">
        <v>638</v>
      </c>
      <c r="G105" s="17" t="s">
        <v>252</v>
      </c>
      <c r="H105" s="17" t="s">
        <v>260</v>
      </c>
      <c r="I105" s="17" t="s">
        <v>244</v>
      </c>
      <c r="J105" s="17" t="s">
        <v>639</v>
      </c>
    </row>
    <row r="106" spans="1:10" x14ac:dyDescent="0.25">
      <c r="A106" s="17" t="s">
        <v>640</v>
      </c>
      <c r="B106" s="17" t="s">
        <v>641</v>
      </c>
      <c r="C106" s="17" t="s">
        <v>104</v>
      </c>
      <c r="D106" s="17" t="s">
        <v>327</v>
      </c>
      <c r="E106" s="17" t="s">
        <v>289</v>
      </c>
      <c r="F106" s="17" t="s">
        <v>642</v>
      </c>
      <c r="G106" s="17" t="s">
        <v>242</v>
      </c>
      <c r="H106" s="17" t="s">
        <v>243</v>
      </c>
      <c r="I106" s="17" t="s">
        <v>244</v>
      </c>
      <c r="J106" s="17" t="s">
        <v>643</v>
      </c>
    </row>
    <row r="107" spans="1:10" x14ac:dyDescent="0.25">
      <c r="A107" s="17" t="s">
        <v>644</v>
      </c>
      <c r="B107" s="17" t="s">
        <v>633</v>
      </c>
      <c r="C107" s="17" t="s">
        <v>72</v>
      </c>
      <c r="D107" s="17" t="s">
        <v>272</v>
      </c>
      <c r="E107" s="17" t="s">
        <v>240</v>
      </c>
      <c r="F107" s="17" t="s">
        <v>645</v>
      </c>
      <c r="G107" s="17" t="s">
        <v>252</v>
      </c>
      <c r="H107" s="17" t="s">
        <v>243</v>
      </c>
      <c r="I107" s="17" t="s">
        <v>244</v>
      </c>
      <c r="J107" s="17" t="s">
        <v>646</v>
      </c>
    </row>
    <row r="108" spans="1:10" x14ac:dyDescent="0.25">
      <c r="A108" s="17" t="s">
        <v>647</v>
      </c>
      <c r="B108" s="17" t="s">
        <v>637</v>
      </c>
      <c r="C108" s="17" t="s">
        <v>648</v>
      </c>
      <c r="D108" s="17" t="s">
        <v>327</v>
      </c>
      <c r="E108" s="17" t="s">
        <v>289</v>
      </c>
      <c r="F108" s="17" t="s">
        <v>649</v>
      </c>
      <c r="G108" s="17" t="s">
        <v>252</v>
      </c>
      <c r="H108" s="17" t="s">
        <v>260</v>
      </c>
      <c r="I108" s="17" t="s">
        <v>244</v>
      </c>
      <c r="J108" s="17" t="s">
        <v>381</v>
      </c>
    </row>
    <row r="109" spans="1:10" x14ac:dyDescent="0.25">
      <c r="A109" s="17" t="s">
        <v>650</v>
      </c>
      <c r="B109" s="17" t="s">
        <v>641</v>
      </c>
      <c r="C109" s="17" t="s">
        <v>84</v>
      </c>
      <c r="D109" s="17"/>
      <c r="E109" s="17" t="s">
        <v>289</v>
      </c>
      <c r="F109" s="17" t="s">
        <v>651</v>
      </c>
      <c r="G109" s="17" t="s">
        <v>252</v>
      </c>
      <c r="H109" s="17" t="s">
        <v>253</v>
      </c>
      <c r="I109" s="17" t="s">
        <v>244</v>
      </c>
      <c r="J109" s="17" t="s">
        <v>652</v>
      </c>
    </row>
    <row r="110" spans="1:10" x14ac:dyDescent="0.25">
      <c r="A110" s="17" t="s">
        <v>653</v>
      </c>
      <c r="B110" s="17" t="s">
        <v>654</v>
      </c>
      <c r="C110" s="17" t="s">
        <v>117</v>
      </c>
      <c r="D110" s="17" t="s">
        <v>250</v>
      </c>
      <c r="E110" s="17" t="s">
        <v>240</v>
      </c>
      <c r="F110" s="17" t="s">
        <v>655</v>
      </c>
      <c r="G110" s="17" t="s">
        <v>252</v>
      </c>
      <c r="H110" s="17" t="s">
        <v>243</v>
      </c>
      <c r="I110" s="17" t="s">
        <v>244</v>
      </c>
      <c r="J110" s="17" t="s">
        <v>470</v>
      </c>
    </row>
    <row r="111" spans="1:10" x14ac:dyDescent="0.25">
      <c r="A111" s="17" t="s">
        <v>656</v>
      </c>
      <c r="B111" s="17" t="s">
        <v>657</v>
      </c>
      <c r="C111" s="17" t="s">
        <v>117</v>
      </c>
      <c r="D111" s="17" t="s">
        <v>250</v>
      </c>
      <c r="E111" s="17" t="s">
        <v>240</v>
      </c>
      <c r="F111" s="17" t="s">
        <v>658</v>
      </c>
      <c r="G111" s="17" t="s">
        <v>252</v>
      </c>
      <c r="H111" s="17" t="s">
        <v>243</v>
      </c>
      <c r="I111" s="17" t="s">
        <v>244</v>
      </c>
      <c r="J111" s="17" t="s">
        <v>659</v>
      </c>
    </row>
    <row r="112" spans="1:10" x14ac:dyDescent="0.25">
      <c r="A112" s="17" t="s">
        <v>660</v>
      </c>
      <c r="B112" s="17" t="s">
        <v>661</v>
      </c>
      <c r="C112" s="17" t="s">
        <v>607</v>
      </c>
      <c r="D112" s="17" t="s">
        <v>272</v>
      </c>
      <c r="E112" s="17" t="s">
        <v>240</v>
      </c>
      <c r="F112" s="17" t="s">
        <v>662</v>
      </c>
      <c r="G112" s="17" t="s">
        <v>252</v>
      </c>
      <c r="H112" s="17" t="s">
        <v>266</v>
      </c>
      <c r="I112" s="17" t="s">
        <v>267</v>
      </c>
      <c r="J112" s="17" t="s">
        <v>663</v>
      </c>
    </row>
    <row r="113" spans="1:10" x14ac:dyDescent="0.25">
      <c r="A113" s="17" t="s">
        <v>664</v>
      </c>
      <c r="B113" s="17" t="s">
        <v>654</v>
      </c>
      <c r="C113" s="17" t="s">
        <v>72</v>
      </c>
      <c r="D113" s="17" t="s">
        <v>258</v>
      </c>
      <c r="E113" s="17" t="s">
        <v>240</v>
      </c>
      <c r="F113" s="17" t="s">
        <v>665</v>
      </c>
      <c r="G113" s="17" t="s">
        <v>252</v>
      </c>
      <c r="H113" s="17" t="s">
        <v>253</v>
      </c>
      <c r="I113" s="17" t="s">
        <v>244</v>
      </c>
      <c r="J113" s="17" t="s">
        <v>666</v>
      </c>
    </row>
    <row r="114" spans="1:10" x14ac:dyDescent="0.25">
      <c r="A114" s="17" t="s">
        <v>647</v>
      </c>
      <c r="B114" s="17" t="s">
        <v>637</v>
      </c>
      <c r="C114" s="17" t="s">
        <v>648</v>
      </c>
      <c r="D114" s="17" t="s">
        <v>327</v>
      </c>
      <c r="E114" s="17" t="s">
        <v>289</v>
      </c>
      <c r="F114" s="17" t="s">
        <v>649</v>
      </c>
      <c r="G114" s="17" t="s">
        <v>252</v>
      </c>
      <c r="H114" s="17" t="s">
        <v>260</v>
      </c>
      <c r="I114" s="17" t="s">
        <v>244</v>
      </c>
      <c r="J114" s="17" t="s">
        <v>381</v>
      </c>
    </row>
    <row r="115" spans="1:10" x14ac:dyDescent="0.25">
      <c r="A115" s="17" t="s">
        <v>667</v>
      </c>
      <c r="B115" s="17" t="s">
        <v>657</v>
      </c>
      <c r="C115" s="17" t="s">
        <v>98</v>
      </c>
      <c r="D115" s="17" t="s">
        <v>258</v>
      </c>
      <c r="E115" s="17" t="s">
        <v>289</v>
      </c>
      <c r="F115" s="17" t="s">
        <v>668</v>
      </c>
      <c r="G115" s="17" t="s">
        <v>252</v>
      </c>
      <c r="H115" s="17" t="s">
        <v>253</v>
      </c>
      <c r="I115" s="17" t="s">
        <v>244</v>
      </c>
      <c r="J115" s="17" t="s">
        <v>669</v>
      </c>
    </row>
    <row r="116" spans="1:10" x14ac:dyDescent="0.25">
      <c r="A116" s="17" t="s">
        <v>670</v>
      </c>
      <c r="B116" s="17" t="s">
        <v>661</v>
      </c>
      <c r="C116" s="17" t="s">
        <v>115</v>
      </c>
      <c r="D116" s="17" t="s">
        <v>327</v>
      </c>
      <c r="E116" s="17" t="s">
        <v>240</v>
      </c>
      <c r="F116" s="17" t="s">
        <v>671</v>
      </c>
      <c r="G116" s="17" t="s">
        <v>242</v>
      </c>
      <c r="H116" s="17" t="s">
        <v>266</v>
      </c>
      <c r="I116" s="17" t="s">
        <v>267</v>
      </c>
      <c r="J116" s="17" t="s">
        <v>672</v>
      </c>
    </row>
    <row r="117" spans="1:10" x14ac:dyDescent="0.25">
      <c r="A117" s="17" t="s">
        <v>673</v>
      </c>
      <c r="B117" s="17" t="s">
        <v>654</v>
      </c>
      <c r="C117" s="17" t="s">
        <v>318</v>
      </c>
      <c r="D117" s="17" t="s">
        <v>258</v>
      </c>
      <c r="E117" s="17" t="s">
        <v>240</v>
      </c>
      <c r="F117" s="17" t="s">
        <v>674</v>
      </c>
      <c r="G117" s="17" t="s">
        <v>252</v>
      </c>
      <c r="H117" s="17" t="s">
        <v>243</v>
      </c>
      <c r="I117" s="17" t="s">
        <v>244</v>
      </c>
      <c r="J117" s="17" t="s">
        <v>675</v>
      </c>
    </row>
    <row r="118" spans="1:10" x14ac:dyDescent="0.25">
      <c r="A118" s="17" t="s">
        <v>676</v>
      </c>
      <c r="B118" s="17" t="s">
        <v>657</v>
      </c>
      <c r="C118" s="17" t="s">
        <v>125</v>
      </c>
      <c r="D118" s="17" t="s">
        <v>327</v>
      </c>
      <c r="E118" s="17" t="s">
        <v>289</v>
      </c>
      <c r="F118" s="17" t="s">
        <v>677</v>
      </c>
      <c r="G118" s="17" t="s">
        <v>252</v>
      </c>
      <c r="H118" s="17" t="s">
        <v>253</v>
      </c>
      <c r="I118" s="17" t="s">
        <v>244</v>
      </c>
      <c r="J118" s="17" t="s">
        <v>678</v>
      </c>
    </row>
    <row r="119" spans="1:10" x14ac:dyDescent="0.25">
      <c r="A119" s="17" t="s">
        <v>679</v>
      </c>
      <c r="B119" s="17" t="s">
        <v>680</v>
      </c>
      <c r="C119" s="17" t="s">
        <v>91</v>
      </c>
      <c r="D119" s="17" t="s">
        <v>250</v>
      </c>
      <c r="E119" s="17" t="s">
        <v>289</v>
      </c>
      <c r="F119" s="17" t="s">
        <v>681</v>
      </c>
      <c r="G119" s="17" t="s">
        <v>252</v>
      </c>
      <c r="H119" s="17" t="s">
        <v>243</v>
      </c>
      <c r="I119" s="17" t="s">
        <v>244</v>
      </c>
      <c r="J119" s="17" t="s">
        <v>470</v>
      </c>
    </row>
    <row r="120" spans="1:10" x14ac:dyDescent="0.25">
      <c r="A120" s="17" t="s">
        <v>682</v>
      </c>
      <c r="B120" s="17" t="s">
        <v>683</v>
      </c>
      <c r="C120" s="17" t="s">
        <v>147</v>
      </c>
      <c r="D120" s="17" t="s">
        <v>272</v>
      </c>
      <c r="E120" s="17" t="s">
        <v>240</v>
      </c>
      <c r="F120" s="17" t="s">
        <v>684</v>
      </c>
      <c r="G120" s="17" t="s">
        <v>252</v>
      </c>
      <c r="H120" s="17" t="s">
        <v>243</v>
      </c>
      <c r="I120" s="17" t="s">
        <v>244</v>
      </c>
      <c r="J120" s="17" t="s">
        <v>291</v>
      </c>
    </row>
    <row r="121" spans="1:10" x14ac:dyDescent="0.25">
      <c r="A121" s="17" t="s">
        <v>685</v>
      </c>
      <c r="B121" s="17" t="s">
        <v>686</v>
      </c>
      <c r="C121" s="17" t="s">
        <v>519</v>
      </c>
      <c r="D121" s="17" t="s">
        <v>258</v>
      </c>
      <c r="E121" s="17" t="s">
        <v>289</v>
      </c>
      <c r="F121" s="17" t="s">
        <v>687</v>
      </c>
      <c r="G121" s="17" t="s">
        <v>252</v>
      </c>
      <c r="H121" s="17" t="s">
        <v>266</v>
      </c>
      <c r="I121" s="17" t="s">
        <v>267</v>
      </c>
      <c r="J121" s="17" t="s">
        <v>432</v>
      </c>
    </row>
    <row r="122" spans="1:10" x14ac:dyDescent="0.25">
      <c r="A122" s="17" t="s">
        <v>688</v>
      </c>
      <c r="B122" s="17" t="s">
        <v>680</v>
      </c>
      <c r="C122" s="17" t="s">
        <v>115</v>
      </c>
      <c r="D122" s="17" t="s">
        <v>327</v>
      </c>
      <c r="E122" s="17" t="s">
        <v>240</v>
      </c>
      <c r="F122" s="17" t="s">
        <v>689</v>
      </c>
      <c r="G122" s="17" t="s">
        <v>252</v>
      </c>
      <c r="H122" s="17" t="s">
        <v>253</v>
      </c>
      <c r="I122" s="17" t="s">
        <v>244</v>
      </c>
      <c r="J122" s="17" t="s">
        <v>652</v>
      </c>
    </row>
    <row r="123" spans="1:10" x14ac:dyDescent="0.25">
      <c r="A123" s="17" t="s">
        <v>690</v>
      </c>
      <c r="B123" s="17" t="s">
        <v>691</v>
      </c>
      <c r="C123" s="17" t="s">
        <v>119</v>
      </c>
      <c r="D123" s="17" t="s">
        <v>272</v>
      </c>
      <c r="E123" s="17" t="s">
        <v>289</v>
      </c>
      <c r="F123" s="17" t="s">
        <v>692</v>
      </c>
      <c r="G123" s="17" t="s">
        <v>252</v>
      </c>
      <c r="H123" s="17" t="s">
        <v>260</v>
      </c>
      <c r="I123" s="17" t="s">
        <v>244</v>
      </c>
      <c r="J123" s="17" t="s">
        <v>693</v>
      </c>
    </row>
    <row r="124" spans="1:10" x14ac:dyDescent="0.25">
      <c r="A124" s="17" t="s">
        <v>694</v>
      </c>
      <c r="B124" s="17" t="s">
        <v>695</v>
      </c>
      <c r="C124" s="17" t="s">
        <v>72</v>
      </c>
      <c r="D124" s="17" t="s">
        <v>272</v>
      </c>
      <c r="E124" s="17" t="s">
        <v>240</v>
      </c>
      <c r="F124" s="17" t="s">
        <v>696</v>
      </c>
      <c r="G124" s="17" t="s">
        <v>252</v>
      </c>
      <c r="H124" s="17" t="s">
        <v>243</v>
      </c>
      <c r="I124" s="17" t="s">
        <v>244</v>
      </c>
      <c r="J124" s="17" t="s">
        <v>343</v>
      </c>
    </row>
    <row r="125" spans="1:10" x14ac:dyDescent="0.25">
      <c r="A125" s="17" t="s">
        <v>697</v>
      </c>
      <c r="B125" s="17" t="s">
        <v>698</v>
      </c>
      <c r="C125" s="17" t="s">
        <v>335</v>
      </c>
      <c r="D125" s="17" t="s">
        <v>250</v>
      </c>
      <c r="E125" s="17" t="s">
        <v>289</v>
      </c>
      <c r="F125" s="17" t="s">
        <v>699</v>
      </c>
      <c r="G125" s="17" t="s">
        <v>242</v>
      </c>
      <c r="H125" s="17" t="s">
        <v>260</v>
      </c>
      <c r="I125" s="17" t="s">
        <v>244</v>
      </c>
      <c r="J125" s="17" t="s">
        <v>700</v>
      </c>
    </row>
    <row r="126" spans="1:10" x14ac:dyDescent="0.25">
      <c r="A126" s="17" t="s">
        <v>701</v>
      </c>
      <c r="B126" s="17" t="s">
        <v>702</v>
      </c>
      <c r="C126" s="17" t="s">
        <v>104</v>
      </c>
      <c r="D126" s="17" t="s">
        <v>327</v>
      </c>
      <c r="E126" s="17" t="s">
        <v>240</v>
      </c>
      <c r="F126" s="17" t="s">
        <v>703</v>
      </c>
      <c r="G126" s="17" t="s">
        <v>252</v>
      </c>
      <c r="H126" s="17" t="s">
        <v>260</v>
      </c>
      <c r="I126" s="17" t="s">
        <v>244</v>
      </c>
      <c r="J126" s="17" t="s">
        <v>704</v>
      </c>
    </row>
    <row r="127" spans="1:10" x14ac:dyDescent="0.25">
      <c r="A127" s="17" t="s">
        <v>705</v>
      </c>
      <c r="B127" s="17" t="s">
        <v>706</v>
      </c>
      <c r="C127" s="17" t="s">
        <v>133</v>
      </c>
      <c r="D127" s="17"/>
      <c r="E127" s="17" t="s">
        <v>289</v>
      </c>
      <c r="F127" s="17" t="s">
        <v>707</v>
      </c>
      <c r="G127" s="17" t="s">
        <v>252</v>
      </c>
      <c r="H127" s="17" t="s">
        <v>260</v>
      </c>
      <c r="I127" s="17" t="s">
        <v>244</v>
      </c>
      <c r="J127" s="17" t="s">
        <v>708</v>
      </c>
    </row>
    <row r="128" spans="1:10" x14ac:dyDescent="0.25">
      <c r="A128" s="17" t="s">
        <v>709</v>
      </c>
      <c r="B128" s="17" t="s">
        <v>710</v>
      </c>
      <c r="C128" s="17" t="s">
        <v>78</v>
      </c>
      <c r="D128" s="17" t="s">
        <v>283</v>
      </c>
      <c r="E128" s="17" t="s">
        <v>240</v>
      </c>
      <c r="F128" s="17" t="s">
        <v>711</v>
      </c>
      <c r="G128" s="17" t="s">
        <v>252</v>
      </c>
      <c r="H128" s="17" t="s">
        <v>243</v>
      </c>
      <c r="I128" s="17" t="s">
        <v>244</v>
      </c>
      <c r="J128" s="17" t="s">
        <v>712</v>
      </c>
    </row>
    <row r="129" spans="1:10" x14ac:dyDescent="0.25">
      <c r="A129" s="17" t="s">
        <v>713</v>
      </c>
      <c r="B129" s="17" t="s">
        <v>714</v>
      </c>
      <c r="C129" s="17" t="s">
        <v>300</v>
      </c>
      <c r="D129" s="17" t="s">
        <v>272</v>
      </c>
      <c r="E129" s="17" t="s">
        <v>240</v>
      </c>
      <c r="F129" s="17" t="s">
        <v>715</v>
      </c>
      <c r="G129" s="17" t="s">
        <v>252</v>
      </c>
      <c r="H129" s="17" t="s">
        <v>243</v>
      </c>
      <c r="I129" s="17" t="s">
        <v>244</v>
      </c>
      <c r="J129" s="17" t="s">
        <v>716</v>
      </c>
    </row>
    <row r="130" spans="1:10" x14ac:dyDescent="0.25">
      <c r="A130" s="17" t="s">
        <v>717</v>
      </c>
      <c r="B130" s="17" t="s">
        <v>718</v>
      </c>
      <c r="C130" s="17" t="s">
        <v>98</v>
      </c>
      <c r="D130" s="17" t="s">
        <v>258</v>
      </c>
      <c r="E130" s="17" t="s">
        <v>240</v>
      </c>
      <c r="F130" s="17" t="s">
        <v>719</v>
      </c>
      <c r="G130" s="17" t="s">
        <v>252</v>
      </c>
      <c r="H130" s="17" t="s">
        <v>266</v>
      </c>
      <c r="I130" s="17" t="s">
        <v>267</v>
      </c>
      <c r="J130" s="17" t="s">
        <v>509</v>
      </c>
    </row>
    <row r="131" spans="1:10" x14ac:dyDescent="0.25">
      <c r="A131" s="17" t="s">
        <v>720</v>
      </c>
      <c r="B131" s="17" t="s">
        <v>710</v>
      </c>
      <c r="C131" s="17" t="s">
        <v>104</v>
      </c>
      <c r="D131" s="17" t="s">
        <v>327</v>
      </c>
      <c r="E131" s="17" t="s">
        <v>240</v>
      </c>
      <c r="F131" s="17" t="s">
        <v>721</v>
      </c>
      <c r="G131" s="17" t="s">
        <v>252</v>
      </c>
      <c r="H131" s="17" t="s">
        <v>253</v>
      </c>
      <c r="I131" s="17" t="s">
        <v>244</v>
      </c>
      <c r="J131" s="17" t="s">
        <v>722</v>
      </c>
    </row>
    <row r="132" spans="1:10" x14ac:dyDescent="0.25">
      <c r="A132" s="17" t="s">
        <v>723</v>
      </c>
      <c r="B132" s="17" t="s">
        <v>724</v>
      </c>
      <c r="C132" s="17" t="s">
        <v>117</v>
      </c>
      <c r="D132" s="17" t="s">
        <v>250</v>
      </c>
      <c r="E132" s="17" t="s">
        <v>240</v>
      </c>
      <c r="F132" s="17" t="s">
        <v>725</v>
      </c>
      <c r="G132" s="17" t="s">
        <v>252</v>
      </c>
      <c r="H132" s="17" t="s">
        <v>260</v>
      </c>
      <c r="I132" s="17" t="s">
        <v>244</v>
      </c>
      <c r="J132" s="17" t="s">
        <v>726</v>
      </c>
    </row>
    <row r="133" spans="1:10" x14ac:dyDescent="0.25">
      <c r="A133" s="17" t="s">
        <v>727</v>
      </c>
      <c r="B133" s="17" t="s">
        <v>728</v>
      </c>
      <c r="C133" s="17" t="s">
        <v>491</v>
      </c>
      <c r="D133" s="17" t="s">
        <v>272</v>
      </c>
      <c r="E133" s="17" t="s">
        <v>240</v>
      </c>
      <c r="F133" s="17" t="s">
        <v>729</v>
      </c>
      <c r="G133" s="17" t="s">
        <v>252</v>
      </c>
      <c r="H133" s="17" t="s">
        <v>243</v>
      </c>
      <c r="I133" s="17" t="s">
        <v>244</v>
      </c>
      <c r="J133" s="17" t="s">
        <v>730</v>
      </c>
    </row>
    <row r="134" spans="1:10" x14ac:dyDescent="0.25">
      <c r="A134" s="17" t="s">
        <v>731</v>
      </c>
      <c r="B134" s="17" t="s">
        <v>732</v>
      </c>
      <c r="C134" s="17" t="s">
        <v>135</v>
      </c>
      <c r="D134" s="17" t="s">
        <v>327</v>
      </c>
      <c r="E134" s="17" t="s">
        <v>240</v>
      </c>
      <c r="F134" s="17" t="s">
        <v>733</v>
      </c>
      <c r="G134" s="17" t="s">
        <v>242</v>
      </c>
      <c r="H134" s="17" t="s">
        <v>260</v>
      </c>
      <c r="I134" s="17" t="s">
        <v>244</v>
      </c>
      <c r="J134" s="17" t="s">
        <v>734</v>
      </c>
    </row>
    <row r="135" spans="1:10" x14ac:dyDescent="0.25">
      <c r="A135" s="17" t="s">
        <v>735</v>
      </c>
      <c r="B135" s="17" t="s">
        <v>724</v>
      </c>
      <c r="C135" s="17" t="s">
        <v>117</v>
      </c>
      <c r="D135" s="17" t="s">
        <v>250</v>
      </c>
      <c r="E135" s="17" t="s">
        <v>289</v>
      </c>
      <c r="F135" s="17" t="s">
        <v>736</v>
      </c>
      <c r="G135" s="17" t="s">
        <v>252</v>
      </c>
      <c r="H135" s="17" t="s">
        <v>253</v>
      </c>
      <c r="I135" s="17" t="s">
        <v>244</v>
      </c>
      <c r="J135" s="17" t="s">
        <v>737</v>
      </c>
    </row>
    <row r="136" spans="1:10" x14ac:dyDescent="0.25">
      <c r="A136" s="17" t="s">
        <v>738</v>
      </c>
      <c r="B136" s="17" t="s">
        <v>739</v>
      </c>
      <c r="C136" s="17" t="s">
        <v>125</v>
      </c>
      <c r="D136" s="17" t="s">
        <v>327</v>
      </c>
      <c r="E136" s="17" t="s">
        <v>240</v>
      </c>
      <c r="F136" s="17" t="s">
        <v>740</v>
      </c>
      <c r="G136" s="17" t="s">
        <v>252</v>
      </c>
      <c r="H136" s="17" t="s">
        <v>266</v>
      </c>
      <c r="I136" s="17" t="s">
        <v>267</v>
      </c>
      <c r="J136" s="17" t="s">
        <v>741</v>
      </c>
    </row>
    <row r="137" spans="1:10" x14ac:dyDescent="0.25">
      <c r="A137" s="17" t="s">
        <v>742</v>
      </c>
      <c r="B137" s="17" t="s">
        <v>743</v>
      </c>
      <c r="C137" s="17" t="s">
        <v>300</v>
      </c>
      <c r="D137" s="17" t="s">
        <v>272</v>
      </c>
      <c r="E137" s="17" t="s">
        <v>240</v>
      </c>
      <c r="F137" s="17" t="s">
        <v>744</v>
      </c>
      <c r="G137" s="17" t="s">
        <v>252</v>
      </c>
      <c r="H137" s="17" t="s">
        <v>253</v>
      </c>
      <c r="I137" s="17" t="s">
        <v>244</v>
      </c>
      <c r="J137" s="17" t="s">
        <v>745</v>
      </c>
    </row>
    <row r="138" spans="1:10" x14ac:dyDescent="0.25">
      <c r="A138" s="17" t="s">
        <v>746</v>
      </c>
      <c r="B138" s="17" t="s">
        <v>747</v>
      </c>
      <c r="C138" s="17" t="s">
        <v>123</v>
      </c>
      <c r="D138" s="17" t="s">
        <v>283</v>
      </c>
      <c r="E138" s="17" t="s">
        <v>289</v>
      </c>
      <c r="F138" s="17" t="s">
        <v>748</v>
      </c>
      <c r="G138" s="17" t="s">
        <v>252</v>
      </c>
      <c r="H138" s="17" t="s">
        <v>266</v>
      </c>
      <c r="I138" s="17" t="s">
        <v>267</v>
      </c>
      <c r="J138" s="17" t="s">
        <v>749</v>
      </c>
    </row>
    <row r="139" spans="1:10" x14ac:dyDescent="0.25">
      <c r="A139" s="17" t="s">
        <v>750</v>
      </c>
      <c r="B139" s="17" t="s">
        <v>751</v>
      </c>
      <c r="C139" s="17" t="s">
        <v>111</v>
      </c>
      <c r="D139" s="17" t="s">
        <v>258</v>
      </c>
      <c r="E139" s="17" t="s">
        <v>240</v>
      </c>
      <c r="F139" s="17" t="s">
        <v>752</v>
      </c>
      <c r="G139" s="17" t="s">
        <v>252</v>
      </c>
      <c r="H139" s="17" t="s">
        <v>253</v>
      </c>
      <c r="I139" s="17" t="s">
        <v>244</v>
      </c>
      <c r="J139" s="17" t="s">
        <v>669</v>
      </c>
    </row>
    <row r="140" spans="1:10" x14ac:dyDescent="0.25">
      <c r="A140" s="17" t="s">
        <v>753</v>
      </c>
      <c r="B140" s="17" t="s">
        <v>754</v>
      </c>
      <c r="C140" s="17" t="s">
        <v>84</v>
      </c>
      <c r="D140" s="17" t="s">
        <v>327</v>
      </c>
      <c r="E140" s="17" t="s">
        <v>240</v>
      </c>
      <c r="F140" s="17" t="s">
        <v>755</v>
      </c>
      <c r="G140" s="17" t="s">
        <v>252</v>
      </c>
      <c r="H140" s="17" t="s">
        <v>266</v>
      </c>
      <c r="I140" s="17" t="s">
        <v>267</v>
      </c>
      <c r="J140" s="17" t="s">
        <v>756</v>
      </c>
    </row>
    <row r="141" spans="1:10" x14ac:dyDescent="0.25">
      <c r="A141" s="17" t="s">
        <v>757</v>
      </c>
      <c r="B141" s="17" t="s">
        <v>758</v>
      </c>
      <c r="C141" s="17" t="s">
        <v>591</v>
      </c>
      <c r="D141" s="17" t="s">
        <v>327</v>
      </c>
      <c r="E141" s="17" t="s">
        <v>289</v>
      </c>
      <c r="F141" s="17" t="s">
        <v>759</v>
      </c>
      <c r="G141" s="17" t="s">
        <v>252</v>
      </c>
      <c r="H141" s="17" t="s">
        <v>260</v>
      </c>
      <c r="I141" s="17" t="s">
        <v>244</v>
      </c>
      <c r="J141" s="17" t="s">
        <v>760</v>
      </c>
    </row>
    <row r="142" spans="1:10" x14ac:dyDescent="0.25">
      <c r="A142" s="17" t="s">
        <v>761</v>
      </c>
      <c r="B142" s="17" t="s">
        <v>762</v>
      </c>
      <c r="C142" s="17" t="s">
        <v>72</v>
      </c>
      <c r="D142" s="17" t="s">
        <v>272</v>
      </c>
      <c r="E142" s="17" t="s">
        <v>240</v>
      </c>
      <c r="F142" s="17" t="s">
        <v>763</v>
      </c>
      <c r="G142" s="17" t="s">
        <v>252</v>
      </c>
      <c r="H142" s="17" t="s">
        <v>243</v>
      </c>
      <c r="I142" s="17" t="s">
        <v>244</v>
      </c>
      <c r="J142" s="17" t="s">
        <v>764</v>
      </c>
    </row>
    <row r="143" spans="1:10" x14ac:dyDescent="0.25">
      <c r="A143" s="17" t="s">
        <v>765</v>
      </c>
      <c r="B143" s="17" t="s">
        <v>766</v>
      </c>
      <c r="C143" s="17" t="s">
        <v>72</v>
      </c>
      <c r="D143" s="17" t="s">
        <v>258</v>
      </c>
      <c r="E143" s="17" t="s">
        <v>240</v>
      </c>
      <c r="F143" s="17" t="s">
        <v>767</v>
      </c>
      <c r="G143" s="17" t="s">
        <v>242</v>
      </c>
      <c r="H143" s="17" t="s">
        <v>266</v>
      </c>
      <c r="I143" s="17" t="s">
        <v>267</v>
      </c>
      <c r="J143" s="17" t="s">
        <v>627</v>
      </c>
    </row>
    <row r="144" spans="1:10" x14ac:dyDescent="0.25">
      <c r="A144" s="17" t="s">
        <v>768</v>
      </c>
      <c r="B144" s="17" t="s">
        <v>769</v>
      </c>
      <c r="C144" s="17" t="s">
        <v>131</v>
      </c>
      <c r="D144" s="17"/>
      <c r="E144" s="17" t="s">
        <v>240</v>
      </c>
      <c r="F144" s="17" t="s">
        <v>770</v>
      </c>
      <c r="G144" s="17" t="s">
        <v>252</v>
      </c>
      <c r="H144" s="17" t="s">
        <v>253</v>
      </c>
      <c r="I144" s="17" t="s">
        <v>244</v>
      </c>
      <c r="J144" s="17" t="s">
        <v>669</v>
      </c>
    </row>
    <row r="145" spans="1:10" x14ac:dyDescent="0.25">
      <c r="A145" s="17" t="s">
        <v>771</v>
      </c>
      <c r="B145" s="17" t="s">
        <v>772</v>
      </c>
      <c r="C145" s="17" t="s">
        <v>277</v>
      </c>
      <c r="D145" s="17" t="s">
        <v>250</v>
      </c>
      <c r="E145" s="17" t="s">
        <v>240</v>
      </c>
      <c r="F145" s="17" t="s">
        <v>773</v>
      </c>
      <c r="G145" s="17" t="s">
        <v>252</v>
      </c>
      <c r="H145" s="17" t="s">
        <v>253</v>
      </c>
      <c r="I145" s="17" t="s">
        <v>244</v>
      </c>
      <c r="J145" s="17" t="s">
        <v>254</v>
      </c>
    </row>
    <row r="146" spans="1:10" x14ac:dyDescent="0.25">
      <c r="A146" s="17" t="s">
        <v>774</v>
      </c>
      <c r="B146" s="17" t="s">
        <v>775</v>
      </c>
      <c r="C146" s="17" t="s">
        <v>147</v>
      </c>
      <c r="D146" s="17" t="s">
        <v>272</v>
      </c>
      <c r="E146" s="17" t="s">
        <v>240</v>
      </c>
      <c r="F146" s="17" t="s">
        <v>776</v>
      </c>
      <c r="G146" s="17" t="s">
        <v>252</v>
      </c>
      <c r="H146" s="17" t="s">
        <v>243</v>
      </c>
      <c r="I146" s="17" t="s">
        <v>244</v>
      </c>
      <c r="J146" s="17" t="s">
        <v>777</v>
      </c>
    </row>
    <row r="147" spans="1:10" x14ac:dyDescent="0.25">
      <c r="A147" s="17" t="s">
        <v>778</v>
      </c>
      <c r="B147" s="17" t="s">
        <v>779</v>
      </c>
      <c r="C147" s="17" t="s">
        <v>131</v>
      </c>
      <c r="D147" s="17" t="s">
        <v>258</v>
      </c>
      <c r="E147" s="17" t="s">
        <v>240</v>
      </c>
      <c r="F147" s="17" t="s">
        <v>780</v>
      </c>
      <c r="G147" s="17" t="s">
        <v>252</v>
      </c>
      <c r="H147" s="17" t="s">
        <v>260</v>
      </c>
      <c r="I147" s="17" t="s">
        <v>244</v>
      </c>
      <c r="J147" s="17" t="s">
        <v>781</v>
      </c>
    </row>
    <row r="148" spans="1:10" x14ac:dyDescent="0.25">
      <c r="A148" s="17" t="s">
        <v>782</v>
      </c>
      <c r="B148" s="17" t="s">
        <v>783</v>
      </c>
      <c r="C148" s="17" t="s">
        <v>123</v>
      </c>
      <c r="D148" s="17" t="s">
        <v>283</v>
      </c>
      <c r="E148" s="17" t="s">
        <v>289</v>
      </c>
      <c r="F148" s="17" t="s">
        <v>784</v>
      </c>
      <c r="G148" s="17" t="s">
        <v>252</v>
      </c>
      <c r="H148" s="17" t="s">
        <v>243</v>
      </c>
      <c r="I148" s="17" t="s">
        <v>244</v>
      </c>
      <c r="J148" s="17" t="s">
        <v>785</v>
      </c>
    </row>
    <row r="149" spans="1:10" x14ac:dyDescent="0.25">
      <c r="A149" s="17" t="s">
        <v>786</v>
      </c>
      <c r="B149" s="17" t="s">
        <v>787</v>
      </c>
      <c r="C149" s="17" t="s">
        <v>788</v>
      </c>
      <c r="D149" s="17" t="s">
        <v>283</v>
      </c>
      <c r="E149" s="17" t="s">
        <v>289</v>
      </c>
      <c r="F149" s="17" t="s">
        <v>789</v>
      </c>
      <c r="G149" s="17" t="s">
        <v>252</v>
      </c>
      <c r="H149" s="17" t="s">
        <v>260</v>
      </c>
      <c r="I149" s="17" t="s">
        <v>244</v>
      </c>
      <c r="J149" s="17" t="s">
        <v>414</v>
      </c>
    </row>
    <row r="150" spans="1:10" x14ac:dyDescent="0.25">
      <c r="A150" s="17" t="s">
        <v>790</v>
      </c>
      <c r="B150" s="17" t="s">
        <v>791</v>
      </c>
      <c r="C150" s="17" t="s">
        <v>121</v>
      </c>
      <c r="D150" s="17" t="s">
        <v>258</v>
      </c>
      <c r="E150" s="17" t="s">
        <v>240</v>
      </c>
      <c r="F150" s="17" t="s">
        <v>792</v>
      </c>
      <c r="G150" s="17" t="s">
        <v>252</v>
      </c>
      <c r="H150" s="17" t="s">
        <v>253</v>
      </c>
      <c r="I150" s="17" t="s">
        <v>244</v>
      </c>
      <c r="J150" s="17" t="s">
        <v>666</v>
      </c>
    </row>
    <row r="151" spans="1:10" x14ac:dyDescent="0.25">
      <c r="A151" s="17" t="s">
        <v>793</v>
      </c>
      <c r="B151" s="17" t="s">
        <v>794</v>
      </c>
      <c r="C151" s="17" t="s">
        <v>119</v>
      </c>
      <c r="D151" s="17" t="s">
        <v>272</v>
      </c>
      <c r="E151" s="17" t="s">
        <v>289</v>
      </c>
      <c r="F151" s="17" t="s">
        <v>795</v>
      </c>
      <c r="G151" s="17" t="s">
        <v>252</v>
      </c>
      <c r="H151" s="17" t="s">
        <v>253</v>
      </c>
      <c r="I151" s="17" t="s">
        <v>244</v>
      </c>
      <c r="J151" s="17" t="s">
        <v>796</v>
      </c>
    </row>
    <row r="152" spans="1:10" x14ac:dyDescent="0.25">
      <c r="A152" s="17" t="s">
        <v>797</v>
      </c>
      <c r="B152" s="17" t="s">
        <v>798</v>
      </c>
      <c r="C152" s="17" t="s">
        <v>72</v>
      </c>
      <c r="D152" s="17" t="s">
        <v>272</v>
      </c>
      <c r="E152" s="17" t="s">
        <v>240</v>
      </c>
      <c r="F152" s="17" t="s">
        <v>799</v>
      </c>
      <c r="G152" s="17" t="s">
        <v>242</v>
      </c>
      <c r="H152" s="17" t="s">
        <v>243</v>
      </c>
      <c r="I152" s="17" t="s">
        <v>244</v>
      </c>
      <c r="J152" s="17" t="s">
        <v>800</v>
      </c>
    </row>
    <row r="153" spans="1:10" x14ac:dyDescent="0.25">
      <c r="A153" s="17" t="s">
        <v>801</v>
      </c>
      <c r="B153" s="17" t="s">
        <v>791</v>
      </c>
      <c r="C153" s="17" t="s">
        <v>591</v>
      </c>
      <c r="D153" s="17" t="s">
        <v>327</v>
      </c>
      <c r="E153" s="17" t="s">
        <v>240</v>
      </c>
      <c r="F153" s="17" t="s">
        <v>802</v>
      </c>
      <c r="G153" s="17" t="s">
        <v>252</v>
      </c>
      <c r="H153" s="17" t="s">
        <v>260</v>
      </c>
      <c r="I153" s="17" t="s">
        <v>244</v>
      </c>
      <c r="J153" s="17" t="s">
        <v>803</v>
      </c>
    </row>
    <row r="154" spans="1:10" x14ac:dyDescent="0.25">
      <c r="A154" s="17" t="s">
        <v>804</v>
      </c>
      <c r="B154" s="17" t="s">
        <v>794</v>
      </c>
      <c r="C154" s="17" t="s">
        <v>91</v>
      </c>
      <c r="D154" s="17" t="s">
        <v>250</v>
      </c>
      <c r="E154" s="17" t="s">
        <v>289</v>
      </c>
      <c r="F154" s="17" t="s">
        <v>805</v>
      </c>
      <c r="G154" s="17" t="s">
        <v>252</v>
      </c>
      <c r="H154" s="17" t="s">
        <v>253</v>
      </c>
      <c r="I154" s="17" t="s">
        <v>244</v>
      </c>
      <c r="J154" s="17" t="s">
        <v>806</v>
      </c>
    </row>
    <row r="155" spans="1:10" x14ac:dyDescent="0.25">
      <c r="A155" s="17" t="s">
        <v>807</v>
      </c>
      <c r="B155" s="17" t="s">
        <v>798</v>
      </c>
      <c r="C155" s="17" t="s">
        <v>95</v>
      </c>
      <c r="D155" s="17" t="s">
        <v>272</v>
      </c>
      <c r="E155" s="17" t="s">
        <v>240</v>
      </c>
      <c r="F155" s="17" t="s">
        <v>808</v>
      </c>
      <c r="G155" s="17" t="s">
        <v>252</v>
      </c>
      <c r="H155" s="17" t="s">
        <v>243</v>
      </c>
      <c r="I155" s="17" t="s">
        <v>244</v>
      </c>
      <c r="J155" s="17" t="s">
        <v>291</v>
      </c>
    </row>
    <row r="156" spans="1:10" x14ac:dyDescent="0.25">
      <c r="A156" s="17" t="s">
        <v>809</v>
      </c>
      <c r="B156" s="17" t="s">
        <v>810</v>
      </c>
      <c r="C156" s="17" t="s">
        <v>127</v>
      </c>
      <c r="D156" s="17" t="s">
        <v>272</v>
      </c>
      <c r="E156" s="17" t="s">
        <v>240</v>
      </c>
      <c r="F156" s="17" t="s">
        <v>811</v>
      </c>
      <c r="G156" s="17" t="s">
        <v>252</v>
      </c>
      <c r="H156" s="17" t="s">
        <v>243</v>
      </c>
      <c r="I156" s="17" t="s">
        <v>244</v>
      </c>
      <c r="J156" s="17" t="s">
        <v>393</v>
      </c>
    </row>
    <row r="157" spans="1:10" x14ac:dyDescent="0.25">
      <c r="A157" s="17" t="s">
        <v>812</v>
      </c>
      <c r="B157" s="17" t="s">
        <v>813</v>
      </c>
      <c r="C157" s="17" t="s">
        <v>318</v>
      </c>
      <c r="D157" s="17" t="s">
        <v>258</v>
      </c>
      <c r="E157" s="17" t="s">
        <v>240</v>
      </c>
      <c r="F157" s="17" t="s">
        <v>814</v>
      </c>
      <c r="G157" s="17" t="s">
        <v>252</v>
      </c>
      <c r="H157" s="17" t="s">
        <v>266</v>
      </c>
      <c r="I157" s="17" t="s">
        <v>267</v>
      </c>
      <c r="J157" s="17" t="s">
        <v>432</v>
      </c>
    </row>
    <row r="158" spans="1:10" x14ac:dyDescent="0.25">
      <c r="A158" s="17" t="s">
        <v>815</v>
      </c>
      <c r="B158" s="17" t="s">
        <v>816</v>
      </c>
      <c r="C158" s="17" t="s">
        <v>72</v>
      </c>
      <c r="D158" s="17" t="s">
        <v>258</v>
      </c>
      <c r="E158" s="17" t="s">
        <v>289</v>
      </c>
      <c r="F158" s="17" t="s">
        <v>817</v>
      </c>
      <c r="G158" s="17" t="s">
        <v>252</v>
      </c>
      <c r="H158" s="17" t="s">
        <v>243</v>
      </c>
      <c r="I158" s="17" t="s">
        <v>244</v>
      </c>
      <c r="J158" s="17" t="s">
        <v>818</v>
      </c>
    </row>
    <row r="159" spans="1:10" x14ac:dyDescent="0.25">
      <c r="A159" s="17" t="s">
        <v>819</v>
      </c>
      <c r="B159" s="17" t="s">
        <v>820</v>
      </c>
      <c r="C159" s="17" t="s">
        <v>131</v>
      </c>
      <c r="D159" s="17" t="s">
        <v>258</v>
      </c>
      <c r="E159" s="17" t="s">
        <v>240</v>
      </c>
      <c r="F159" s="17" t="s">
        <v>821</v>
      </c>
      <c r="G159" s="17" t="s">
        <v>252</v>
      </c>
      <c r="H159" s="17" t="s">
        <v>243</v>
      </c>
      <c r="I159" s="17" t="s">
        <v>244</v>
      </c>
      <c r="J159" s="17" t="s">
        <v>822</v>
      </c>
    </row>
    <row r="160" spans="1:10" x14ac:dyDescent="0.25">
      <c r="A160" s="17" t="s">
        <v>823</v>
      </c>
      <c r="B160" s="17" t="s">
        <v>824</v>
      </c>
      <c r="C160" s="17" t="s">
        <v>72</v>
      </c>
      <c r="D160" s="17" t="s">
        <v>272</v>
      </c>
      <c r="E160" s="17" t="s">
        <v>240</v>
      </c>
      <c r="F160" s="17" t="s">
        <v>825</v>
      </c>
      <c r="G160" s="17" t="s">
        <v>252</v>
      </c>
      <c r="H160" s="17" t="s">
        <v>243</v>
      </c>
      <c r="I160" s="17" t="s">
        <v>244</v>
      </c>
      <c r="J160" s="17" t="s">
        <v>343</v>
      </c>
    </row>
    <row r="161" spans="1:10" x14ac:dyDescent="0.25">
      <c r="A161" s="17" t="s">
        <v>826</v>
      </c>
      <c r="B161" s="17" t="s">
        <v>827</v>
      </c>
      <c r="C161" s="17" t="s">
        <v>277</v>
      </c>
      <c r="D161" s="17"/>
      <c r="E161" s="17" t="s">
        <v>289</v>
      </c>
      <c r="F161" s="17" t="s">
        <v>828</v>
      </c>
      <c r="G161" s="17" t="s">
        <v>242</v>
      </c>
      <c r="H161" s="17" t="s">
        <v>266</v>
      </c>
      <c r="I161" s="17" t="s">
        <v>267</v>
      </c>
      <c r="J161" s="17" t="s">
        <v>337</v>
      </c>
    </row>
    <row r="162" spans="1:10" x14ac:dyDescent="0.25">
      <c r="A162" s="17" t="s">
        <v>829</v>
      </c>
      <c r="B162" s="17" t="s">
        <v>830</v>
      </c>
      <c r="C162" s="17" t="s">
        <v>78</v>
      </c>
      <c r="D162" s="17" t="s">
        <v>283</v>
      </c>
      <c r="E162" s="17" t="s">
        <v>240</v>
      </c>
      <c r="F162" s="17" t="s">
        <v>831</v>
      </c>
      <c r="G162" s="17" t="s">
        <v>252</v>
      </c>
      <c r="H162" s="17" t="s">
        <v>260</v>
      </c>
      <c r="I162" s="17" t="s">
        <v>244</v>
      </c>
      <c r="J162" s="17" t="s">
        <v>832</v>
      </c>
    </row>
    <row r="163" spans="1:10" x14ac:dyDescent="0.25">
      <c r="A163" s="17" t="s">
        <v>833</v>
      </c>
      <c r="B163" s="17" t="s">
        <v>834</v>
      </c>
      <c r="C163" s="17" t="s">
        <v>147</v>
      </c>
      <c r="D163" s="17" t="s">
        <v>272</v>
      </c>
      <c r="E163" s="17" t="s">
        <v>289</v>
      </c>
      <c r="F163" s="17" t="s">
        <v>835</v>
      </c>
      <c r="G163" s="17" t="s">
        <v>252</v>
      </c>
      <c r="H163" s="17" t="s">
        <v>253</v>
      </c>
      <c r="I163" s="17" t="s">
        <v>244</v>
      </c>
      <c r="J163" s="17" t="s">
        <v>572</v>
      </c>
    </row>
    <row r="164" spans="1:10" x14ac:dyDescent="0.25">
      <c r="A164" s="17" t="s">
        <v>815</v>
      </c>
      <c r="B164" s="17" t="s">
        <v>816</v>
      </c>
      <c r="C164" s="17" t="s">
        <v>72</v>
      </c>
      <c r="D164" s="17" t="s">
        <v>258</v>
      </c>
      <c r="E164" s="17" t="s">
        <v>289</v>
      </c>
      <c r="F164" s="17" t="s">
        <v>817</v>
      </c>
      <c r="G164" s="17" t="s">
        <v>252</v>
      </c>
      <c r="H164" s="17" t="s">
        <v>243</v>
      </c>
      <c r="I164" s="17" t="s">
        <v>244</v>
      </c>
      <c r="J164" s="17" t="s">
        <v>818</v>
      </c>
    </row>
    <row r="165" spans="1:10" x14ac:dyDescent="0.25">
      <c r="A165" s="17" t="s">
        <v>836</v>
      </c>
      <c r="B165" s="17" t="s">
        <v>837</v>
      </c>
      <c r="C165" s="17" t="s">
        <v>101</v>
      </c>
      <c r="D165" s="17" t="s">
        <v>283</v>
      </c>
      <c r="E165" s="17" t="s">
        <v>289</v>
      </c>
      <c r="F165" s="17" t="s">
        <v>838</v>
      </c>
      <c r="G165" s="17" t="s">
        <v>252</v>
      </c>
      <c r="H165" s="17" t="s">
        <v>266</v>
      </c>
      <c r="I165" s="17" t="s">
        <v>267</v>
      </c>
      <c r="J165" s="17" t="s">
        <v>839</v>
      </c>
    </row>
    <row r="166" spans="1:10" x14ac:dyDescent="0.25">
      <c r="A166" s="17" t="s">
        <v>840</v>
      </c>
      <c r="B166" s="17" t="s">
        <v>841</v>
      </c>
      <c r="C166" s="17" t="s">
        <v>412</v>
      </c>
      <c r="D166" s="17" t="s">
        <v>283</v>
      </c>
      <c r="E166" s="17" t="s">
        <v>289</v>
      </c>
      <c r="F166" s="17" t="s">
        <v>842</v>
      </c>
      <c r="G166" s="17" t="s">
        <v>252</v>
      </c>
      <c r="H166" s="17" t="s">
        <v>266</v>
      </c>
      <c r="I166" s="17" t="s">
        <v>267</v>
      </c>
      <c r="J166" s="17" t="s">
        <v>843</v>
      </c>
    </row>
    <row r="167" spans="1:10" x14ac:dyDescent="0.25">
      <c r="A167" s="17" t="s">
        <v>844</v>
      </c>
      <c r="B167" s="17" t="s">
        <v>834</v>
      </c>
      <c r="C167" s="17" t="s">
        <v>107</v>
      </c>
      <c r="D167" s="17" t="s">
        <v>250</v>
      </c>
      <c r="E167" s="17" t="s">
        <v>240</v>
      </c>
      <c r="F167" s="17" t="s">
        <v>845</v>
      </c>
      <c r="G167" s="17" t="s">
        <v>252</v>
      </c>
      <c r="H167" s="17" t="s">
        <v>253</v>
      </c>
      <c r="I167" s="17" t="s">
        <v>244</v>
      </c>
      <c r="J167" s="17" t="s">
        <v>806</v>
      </c>
    </row>
    <row r="168" spans="1:10" x14ac:dyDescent="0.25">
      <c r="A168" s="17" t="s">
        <v>846</v>
      </c>
      <c r="B168" s="17" t="s">
        <v>837</v>
      </c>
      <c r="C168" s="17" t="s">
        <v>59</v>
      </c>
      <c r="D168" s="17" t="s">
        <v>250</v>
      </c>
      <c r="E168" s="17" t="s">
        <v>240</v>
      </c>
      <c r="F168" s="17" t="s">
        <v>847</v>
      </c>
      <c r="G168" s="17" t="s">
        <v>252</v>
      </c>
      <c r="H168" s="17" t="s">
        <v>253</v>
      </c>
      <c r="I168" s="17" t="s">
        <v>244</v>
      </c>
      <c r="J168" s="17" t="s">
        <v>737</v>
      </c>
    </row>
    <row r="169" spans="1:10" x14ac:dyDescent="0.25">
      <c r="A169" s="17" t="s">
        <v>848</v>
      </c>
      <c r="B169" s="17" t="s">
        <v>849</v>
      </c>
      <c r="C169" s="17" t="s">
        <v>66</v>
      </c>
      <c r="D169" s="17" t="s">
        <v>272</v>
      </c>
      <c r="E169" s="17" t="s">
        <v>289</v>
      </c>
      <c r="F169" s="17" t="s">
        <v>850</v>
      </c>
      <c r="G169" s="17" t="s">
        <v>252</v>
      </c>
      <c r="H169" s="17" t="s">
        <v>266</v>
      </c>
      <c r="I169" s="17" t="s">
        <v>267</v>
      </c>
      <c r="J169" s="17" t="s">
        <v>851</v>
      </c>
    </row>
    <row r="170" spans="1:10" x14ac:dyDescent="0.25">
      <c r="A170" s="17" t="s">
        <v>852</v>
      </c>
      <c r="B170" s="17" t="s">
        <v>853</v>
      </c>
      <c r="C170" s="17" t="s">
        <v>412</v>
      </c>
      <c r="D170" s="17" t="s">
        <v>283</v>
      </c>
      <c r="E170" s="17" t="s">
        <v>289</v>
      </c>
      <c r="F170" s="17" t="s">
        <v>854</v>
      </c>
      <c r="G170" s="17" t="s">
        <v>252</v>
      </c>
      <c r="H170" s="17" t="s">
        <v>253</v>
      </c>
      <c r="I170" s="17" t="s">
        <v>244</v>
      </c>
      <c r="J170" s="17" t="s">
        <v>855</v>
      </c>
    </row>
    <row r="171" spans="1:10" x14ac:dyDescent="0.25">
      <c r="A171" s="17" t="s">
        <v>856</v>
      </c>
      <c r="B171" s="17" t="s">
        <v>857</v>
      </c>
      <c r="C171" s="17" t="s">
        <v>115</v>
      </c>
      <c r="D171" s="17" t="s">
        <v>327</v>
      </c>
      <c r="E171" s="17" t="s">
        <v>240</v>
      </c>
      <c r="F171" s="17" t="s">
        <v>858</v>
      </c>
      <c r="G171" s="17" t="s">
        <v>242</v>
      </c>
      <c r="H171" s="17" t="s">
        <v>243</v>
      </c>
      <c r="I171" s="17" t="s">
        <v>244</v>
      </c>
      <c r="J171" s="17" t="s">
        <v>859</v>
      </c>
    </row>
    <row r="172" spans="1:10" x14ac:dyDescent="0.25">
      <c r="A172" s="17" t="s">
        <v>860</v>
      </c>
      <c r="B172" s="17" t="s">
        <v>849</v>
      </c>
      <c r="C172" s="17" t="s">
        <v>117</v>
      </c>
      <c r="D172" s="17" t="s">
        <v>250</v>
      </c>
      <c r="E172" s="17" t="s">
        <v>240</v>
      </c>
      <c r="F172" s="17" t="s">
        <v>861</v>
      </c>
      <c r="G172" s="17" t="s">
        <v>252</v>
      </c>
      <c r="H172" s="17" t="s">
        <v>266</v>
      </c>
      <c r="I172" s="17" t="s">
        <v>267</v>
      </c>
      <c r="J172" s="17" t="s">
        <v>268</v>
      </c>
    </row>
    <row r="173" spans="1:10" x14ac:dyDescent="0.25">
      <c r="A173" s="17" t="s">
        <v>862</v>
      </c>
      <c r="B173" s="17" t="s">
        <v>853</v>
      </c>
      <c r="C173" s="17" t="s">
        <v>129</v>
      </c>
      <c r="D173" s="17" t="s">
        <v>272</v>
      </c>
      <c r="E173" s="17" t="s">
        <v>289</v>
      </c>
      <c r="F173" s="17" t="s">
        <v>863</v>
      </c>
      <c r="G173" s="17" t="s">
        <v>252</v>
      </c>
      <c r="H173" s="17" t="s">
        <v>260</v>
      </c>
      <c r="I173" s="17" t="s">
        <v>244</v>
      </c>
      <c r="J173" s="17" t="s">
        <v>274</v>
      </c>
    </row>
    <row r="174" spans="1:10" x14ac:dyDescent="0.25">
      <c r="A174" s="17" t="s">
        <v>864</v>
      </c>
      <c r="B174" s="17" t="s">
        <v>857</v>
      </c>
      <c r="C174" s="17" t="s">
        <v>865</v>
      </c>
      <c r="D174" s="17" t="s">
        <v>283</v>
      </c>
      <c r="E174" s="17" t="s">
        <v>240</v>
      </c>
      <c r="F174" s="17" t="s">
        <v>866</v>
      </c>
      <c r="G174" s="17" t="s">
        <v>252</v>
      </c>
      <c r="H174" s="17" t="s">
        <v>243</v>
      </c>
      <c r="I174" s="17" t="s">
        <v>244</v>
      </c>
      <c r="J174" s="17" t="s">
        <v>867</v>
      </c>
    </row>
    <row r="175" spans="1:10" x14ac:dyDescent="0.25">
      <c r="A175" s="17" t="s">
        <v>868</v>
      </c>
      <c r="B175" s="17" t="s">
        <v>849</v>
      </c>
      <c r="C175" s="17" t="s">
        <v>101</v>
      </c>
      <c r="D175" s="17" t="s">
        <v>283</v>
      </c>
      <c r="E175" s="17" t="s">
        <v>240</v>
      </c>
      <c r="F175" s="17" t="s">
        <v>869</v>
      </c>
      <c r="G175" s="17" t="s">
        <v>252</v>
      </c>
      <c r="H175" s="17" t="s">
        <v>243</v>
      </c>
      <c r="I175" s="17" t="s">
        <v>244</v>
      </c>
      <c r="J175" s="17" t="s">
        <v>419</v>
      </c>
    </row>
    <row r="176" spans="1:10" x14ac:dyDescent="0.25">
      <c r="A176" s="17" t="s">
        <v>870</v>
      </c>
      <c r="B176" s="17" t="s">
        <v>853</v>
      </c>
      <c r="C176" s="17" t="s">
        <v>66</v>
      </c>
      <c r="D176" s="17" t="s">
        <v>272</v>
      </c>
      <c r="E176" s="17" t="s">
        <v>240</v>
      </c>
      <c r="F176" s="17" t="s">
        <v>871</v>
      </c>
      <c r="G176" s="17" t="s">
        <v>252</v>
      </c>
      <c r="H176" s="17" t="s">
        <v>243</v>
      </c>
      <c r="I176" s="17" t="s">
        <v>244</v>
      </c>
      <c r="J176" s="17" t="s">
        <v>393</v>
      </c>
    </row>
    <row r="177" spans="1:10" x14ac:dyDescent="0.25">
      <c r="A177" s="17" t="s">
        <v>872</v>
      </c>
      <c r="B177" s="17" t="s">
        <v>873</v>
      </c>
      <c r="C177" s="17" t="s">
        <v>72</v>
      </c>
      <c r="D177" s="17" t="s">
        <v>258</v>
      </c>
      <c r="E177" s="17" t="s">
        <v>240</v>
      </c>
      <c r="F177" s="17" t="s">
        <v>874</v>
      </c>
      <c r="G177" s="17" t="s">
        <v>252</v>
      </c>
      <c r="H177" s="17" t="s">
        <v>260</v>
      </c>
      <c r="I177" s="17" t="s">
        <v>244</v>
      </c>
      <c r="J177" s="17" t="s">
        <v>875</v>
      </c>
    </row>
    <row r="178" spans="1:10" x14ac:dyDescent="0.25">
      <c r="A178" s="17" t="s">
        <v>876</v>
      </c>
      <c r="B178" s="17" t="s">
        <v>877</v>
      </c>
      <c r="C178" s="17" t="s">
        <v>277</v>
      </c>
      <c r="D178" s="17" t="s">
        <v>250</v>
      </c>
      <c r="E178" s="17" t="s">
        <v>240</v>
      </c>
      <c r="F178" s="17" t="s">
        <v>878</v>
      </c>
      <c r="G178" s="17" t="s">
        <v>252</v>
      </c>
      <c r="H178" s="17" t="s">
        <v>266</v>
      </c>
      <c r="I178" s="17" t="s">
        <v>267</v>
      </c>
      <c r="J178" s="17" t="s">
        <v>879</v>
      </c>
    </row>
    <row r="179" spans="1:10" x14ac:dyDescent="0.25">
      <c r="A179" s="17" t="s">
        <v>880</v>
      </c>
      <c r="B179" s="17" t="s">
        <v>881</v>
      </c>
      <c r="C179" s="17" t="s">
        <v>135</v>
      </c>
      <c r="D179" s="17"/>
      <c r="E179" s="17" t="s">
        <v>289</v>
      </c>
      <c r="F179" s="17" t="s">
        <v>882</v>
      </c>
      <c r="G179" s="17" t="s">
        <v>252</v>
      </c>
      <c r="H179" s="17" t="s">
        <v>266</v>
      </c>
      <c r="I179" s="17" t="s">
        <v>267</v>
      </c>
      <c r="J179" s="17" t="s">
        <v>883</v>
      </c>
    </row>
    <row r="180" spans="1:10" x14ac:dyDescent="0.25">
      <c r="A180" s="17" t="s">
        <v>884</v>
      </c>
      <c r="B180" s="17" t="s">
        <v>873</v>
      </c>
      <c r="C180" s="17" t="s">
        <v>107</v>
      </c>
      <c r="D180" s="17" t="s">
        <v>250</v>
      </c>
      <c r="E180" s="17" t="s">
        <v>289</v>
      </c>
      <c r="F180" s="17" t="s">
        <v>885</v>
      </c>
      <c r="G180" s="17" t="s">
        <v>242</v>
      </c>
      <c r="H180" s="17" t="s">
        <v>253</v>
      </c>
      <c r="I180" s="17" t="s">
        <v>244</v>
      </c>
      <c r="J180" s="17" t="s">
        <v>737</v>
      </c>
    </row>
    <row r="181" spans="1:10" x14ac:dyDescent="0.25">
      <c r="A181" s="17" t="s">
        <v>886</v>
      </c>
      <c r="B181" s="17" t="s">
        <v>887</v>
      </c>
      <c r="C181" s="17" t="s">
        <v>98</v>
      </c>
      <c r="D181" s="17" t="s">
        <v>258</v>
      </c>
      <c r="E181" s="17" t="s">
        <v>240</v>
      </c>
      <c r="F181" s="17" t="s">
        <v>888</v>
      </c>
      <c r="G181" s="17" t="s">
        <v>252</v>
      </c>
      <c r="H181" s="17" t="s">
        <v>253</v>
      </c>
      <c r="I181" s="17" t="s">
        <v>244</v>
      </c>
      <c r="J181" s="17" t="s">
        <v>669</v>
      </c>
    </row>
    <row r="182" spans="1:10" x14ac:dyDescent="0.25">
      <c r="A182" s="17" t="s">
        <v>889</v>
      </c>
      <c r="B182" s="17" t="s">
        <v>890</v>
      </c>
      <c r="C182" s="17" t="s">
        <v>891</v>
      </c>
      <c r="D182" s="17" t="s">
        <v>327</v>
      </c>
      <c r="E182" s="17" t="s">
        <v>289</v>
      </c>
      <c r="F182" s="17" t="s">
        <v>892</v>
      </c>
      <c r="G182" s="17" t="s">
        <v>252</v>
      </c>
      <c r="H182" s="17" t="s">
        <v>266</v>
      </c>
      <c r="I182" s="17" t="s">
        <v>267</v>
      </c>
      <c r="J182" s="17" t="s">
        <v>893</v>
      </c>
    </row>
    <row r="183" spans="1:10" x14ac:dyDescent="0.25">
      <c r="A183" s="17" t="s">
        <v>894</v>
      </c>
      <c r="B183" s="17" t="s">
        <v>895</v>
      </c>
      <c r="C183" s="17" t="s">
        <v>95</v>
      </c>
      <c r="D183" s="17" t="s">
        <v>272</v>
      </c>
      <c r="E183" s="17" t="s">
        <v>289</v>
      </c>
      <c r="F183" s="17" t="s">
        <v>896</v>
      </c>
      <c r="G183" s="17" t="s">
        <v>252</v>
      </c>
      <c r="H183" s="17" t="s">
        <v>253</v>
      </c>
      <c r="I183" s="17" t="s">
        <v>244</v>
      </c>
      <c r="J183" s="17" t="s">
        <v>897</v>
      </c>
    </row>
    <row r="184" spans="1:10" x14ac:dyDescent="0.25">
      <c r="A184" s="17" t="s">
        <v>898</v>
      </c>
      <c r="B184" s="17" t="s">
        <v>887</v>
      </c>
      <c r="C184" s="17" t="s">
        <v>91</v>
      </c>
      <c r="D184" s="17" t="s">
        <v>250</v>
      </c>
      <c r="E184" s="17" t="s">
        <v>240</v>
      </c>
      <c r="F184" s="17" t="s">
        <v>899</v>
      </c>
      <c r="G184" s="17" t="s">
        <v>252</v>
      </c>
      <c r="H184" s="17" t="s">
        <v>253</v>
      </c>
      <c r="I184" s="17" t="s">
        <v>244</v>
      </c>
      <c r="J184" s="17" t="s">
        <v>900</v>
      </c>
    </row>
    <row r="185" spans="1:10" x14ac:dyDescent="0.25">
      <c r="A185" s="17" t="s">
        <v>901</v>
      </c>
      <c r="B185" s="17" t="s">
        <v>902</v>
      </c>
      <c r="C185" s="17" t="s">
        <v>101</v>
      </c>
      <c r="D185" s="17" t="s">
        <v>283</v>
      </c>
      <c r="E185" s="17" t="s">
        <v>289</v>
      </c>
      <c r="F185" s="17" t="s">
        <v>903</v>
      </c>
      <c r="G185" s="17" t="s">
        <v>252</v>
      </c>
      <c r="H185" s="17" t="s">
        <v>253</v>
      </c>
      <c r="I185" s="17" t="s">
        <v>244</v>
      </c>
      <c r="J185" s="17" t="s">
        <v>904</v>
      </c>
    </row>
    <row r="186" spans="1:10" x14ac:dyDescent="0.25">
      <c r="A186" s="17" t="s">
        <v>905</v>
      </c>
      <c r="B186" s="17" t="s">
        <v>906</v>
      </c>
      <c r="C186" s="17" t="s">
        <v>335</v>
      </c>
      <c r="D186" s="17" t="s">
        <v>250</v>
      </c>
      <c r="E186" s="17" t="s">
        <v>240</v>
      </c>
      <c r="F186" s="17" t="s">
        <v>907</v>
      </c>
      <c r="G186" s="17" t="s">
        <v>252</v>
      </c>
      <c r="H186" s="17" t="s">
        <v>253</v>
      </c>
      <c r="I186" s="17" t="s">
        <v>244</v>
      </c>
      <c r="J186" s="17" t="s">
        <v>254</v>
      </c>
    </row>
    <row r="187" spans="1:10" x14ac:dyDescent="0.25">
      <c r="A187" s="17" t="s">
        <v>880</v>
      </c>
      <c r="B187" s="17" t="s">
        <v>881</v>
      </c>
      <c r="C187" s="17" t="s">
        <v>135</v>
      </c>
      <c r="D187" s="17"/>
      <c r="E187" s="17" t="s">
        <v>289</v>
      </c>
      <c r="F187" s="17" t="s">
        <v>908</v>
      </c>
      <c r="G187" s="17" t="s">
        <v>252</v>
      </c>
      <c r="H187" s="17" t="s">
        <v>266</v>
      </c>
      <c r="I187" s="17" t="s">
        <v>267</v>
      </c>
      <c r="J187" s="17" t="s">
        <v>883</v>
      </c>
    </row>
    <row r="188" spans="1:10" x14ac:dyDescent="0.25">
      <c r="A188" s="17" t="s">
        <v>909</v>
      </c>
      <c r="B188" s="17" t="s">
        <v>910</v>
      </c>
      <c r="C188" s="17" t="s">
        <v>59</v>
      </c>
      <c r="D188" s="17" t="s">
        <v>250</v>
      </c>
      <c r="E188" s="17" t="s">
        <v>240</v>
      </c>
      <c r="F188" s="17" t="s">
        <v>911</v>
      </c>
      <c r="G188" s="17" t="s">
        <v>252</v>
      </c>
      <c r="H188" s="17" t="s">
        <v>243</v>
      </c>
      <c r="I188" s="17" t="s">
        <v>244</v>
      </c>
      <c r="J188" s="17" t="s">
        <v>452</v>
      </c>
    </row>
    <row r="189" spans="1:10" x14ac:dyDescent="0.25">
      <c r="A189" s="17" t="s">
        <v>912</v>
      </c>
      <c r="B189" s="17" t="s">
        <v>913</v>
      </c>
      <c r="C189" s="17" t="s">
        <v>72</v>
      </c>
      <c r="D189" s="17" t="s">
        <v>258</v>
      </c>
      <c r="E189" s="17" t="s">
        <v>289</v>
      </c>
      <c r="F189" s="17" t="s">
        <v>914</v>
      </c>
      <c r="G189" s="17" t="s">
        <v>252</v>
      </c>
      <c r="H189" s="17" t="s">
        <v>260</v>
      </c>
      <c r="I189" s="17" t="s">
        <v>244</v>
      </c>
      <c r="J189" s="17" t="s">
        <v>781</v>
      </c>
    </row>
    <row r="190" spans="1:10" x14ac:dyDescent="0.25">
      <c r="A190" s="17" t="s">
        <v>915</v>
      </c>
      <c r="B190" s="17" t="s">
        <v>916</v>
      </c>
      <c r="C190" s="17" t="s">
        <v>131</v>
      </c>
      <c r="D190" s="17" t="s">
        <v>258</v>
      </c>
      <c r="E190" s="17" t="s">
        <v>240</v>
      </c>
      <c r="F190" s="17" t="s">
        <v>917</v>
      </c>
      <c r="G190" s="17" t="s">
        <v>242</v>
      </c>
      <c r="H190" s="17" t="s">
        <v>243</v>
      </c>
      <c r="I190" s="17" t="s">
        <v>244</v>
      </c>
      <c r="J190" s="17" t="s">
        <v>918</v>
      </c>
    </row>
    <row r="191" spans="1:10" x14ac:dyDescent="0.25">
      <c r="A191" s="17" t="s">
        <v>919</v>
      </c>
      <c r="B191" s="17" t="s">
        <v>910</v>
      </c>
      <c r="C191" s="17" t="s">
        <v>412</v>
      </c>
      <c r="D191" s="17" t="s">
        <v>283</v>
      </c>
      <c r="E191" s="17" t="s">
        <v>240</v>
      </c>
      <c r="F191" s="17" t="s">
        <v>920</v>
      </c>
      <c r="G191" s="17" t="s">
        <v>252</v>
      </c>
      <c r="H191" s="17" t="s">
        <v>266</v>
      </c>
      <c r="I191" s="17" t="s">
        <v>267</v>
      </c>
      <c r="J191" s="17" t="s">
        <v>843</v>
      </c>
    </row>
    <row r="192" spans="1:10" x14ac:dyDescent="0.25">
      <c r="A192" s="17" t="s">
        <v>921</v>
      </c>
      <c r="B192" s="17" t="s">
        <v>913</v>
      </c>
      <c r="C192" s="17" t="s">
        <v>104</v>
      </c>
      <c r="D192" s="17" t="s">
        <v>327</v>
      </c>
      <c r="E192" s="17" t="s">
        <v>240</v>
      </c>
      <c r="F192" s="17" t="s">
        <v>922</v>
      </c>
      <c r="G192" s="17" t="s">
        <v>252</v>
      </c>
      <c r="H192" s="17" t="s">
        <v>253</v>
      </c>
      <c r="I192" s="17" t="s">
        <v>244</v>
      </c>
      <c r="J192" s="17" t="s">
        <v>923</v>
      </c>
    </row>
    <row r="193" spans="1:10" x14ac:dyDescent="0.25">
      <c r="A193" s="17" t="s">
        <v>924</v>
      </c>
      <c r="B193" s="17" t="s">
        <v>925</v>
      </c>
      <c r="C193" s="17" t="s">
        <v>84</v>
      </c>
      <c r="D193" s="17" t="s">
        <v>272</v>
      </c>
      <c r="E193" s="17" t="s">
        <v>240</v>
      </c>
      <c r="F193" s="17" t="s">
        <v>926</v>
      </c>
      <c r="G193" s="17" t="s">
        <v>252</v>
      </c>
      <c r="H193" s="17" t="s">
        <v>243</v>
      </c>
      <c r="I193" s="17" t="s">
        <v>244</v>
      </c>
      <c r="J193" s="17" t="s">
        <v>470</v>
      </c>
    </row>
    <row r="194" spans="1:10" x14ac:dyDescent="0.25">
      <c r="A194" s="17" t="s">
        <v>927</v>
      </c>
      <c r="B194" s="17" t="s">
        <v>928</v>
      </c>
      <c r="C194" s="17" t="s">
        <v>121</v>
      </c>
      <c r="D194" s="17" t="s">
        <v>258</v>
      </c>
      <c r="E194" s="17" t="s">
        <v>289</v>
      </c>
      <c r="F194" s="17" t="s">
        <v>929</v>
      </c>
      <c r="G194" s="17" t="s">
        <v>252</v>
      </c>
      <c r="H194" s="17" t="s">
        <v>260</v>
      </c>
      <c r="I194" s="17" t="s">
        <v>244</v>
      </c>
      <c r="J194" s="17" t="s">
        <v>781</v>
      </c>
    </row>
    <row r="195" spans="1:10" x14ac:dyDescent="0.25">
      <c r="A195" s="17" t="s">
        <v>930</v>
      </c>
      <c r="B195" s="17" t="s">
        <v>931</v>
      </c>
      <c r="C195" s="17" t="s">
        <v>932</v>
      </c>
      <c r="D195" s="17" t="s">
        <v>258</v>
      </c>
      <c r="E195" s="17" t="s">
        <v>240</v>
      </c>
      <c r="F195" s="17" t="s">
        <v>933</v>
      </c>
      <c r="G195" s="17" t="s">
        <v>252</v>
      </c>
      <c r="H195" s="17" t="s">
        <v>260</v>
      </c>
      <c r="I195" s="17" t="s">
        <v>244</v>
      </c>
      <c r="J195" s="17" t="s">
        <v>934</v>
      </c>
    </row>
    <row r="196" spans="1:10" x14ac:dyDescent="0.25">
      <c r="A196" s="17" t="s">
        <v>935</v>
      </c>
      <c r="B196" s="17" t="s">
        <v>925</v>
      </c>
      <c r="C196" s="17" t="s">
        <v>78</v>
      </c>
      <c r="D196" s="17" t="s">
        <v>283</v>
      </c>
      <c r="E196" s="17" t="s">
        <v>240</v>
      </c>
      <c r="F196" s="17" t="s">
        <v>936</v>
      </c>
      <c r="G196" s="17" t="s">
        <v>252</v>
      </c>
      <c r="H196" s="17" t="s">
        <v>260</v>
      </c>
      <c r="I196" s="17" t="s">
        <v>244</v>
      </c>
      <c r="J196" s="17" t="s">
        <v>937</v>
      </c>
    </row>
    <row r="197" spans="1:10" x14ac:dyDescent="0.25">
      <c r="A197" s="17" t="s">
        <v>938</v>
      </c>
      <c r="B197" s="17" t="s">
        <v>939</v>
      </c>
      <c r="C197" s="17" t="s">
        <v>129</v>
      </c>
      <c r="D197" s="17"/>
      <c r="E197" s="17" t="s">
        <v>240</v>
      </c>
      <c r="F197" s="17" t="s">
        <v>940</v>
      </c>
      <c r="G197" s="17" t="s">
        <v>252</v>
      </c>
      <c r="H197" s="17" t="s">
        <v>260</v>
      </c>
      <c r="I197" s="17" t="s">
        <v>244</v>
      </c>
      <c r="J197" s="17" t="s">
        <v>941</v>
      </c>
    </row>
    <row r="198" spans="1:10" x14ac:dyDescent="0.25">
      <c r="A198" s="17" t="s">
        <v>942</v>
      </c>
      <c r="B198" s="17" t="s">
        <v>943</v>
      </c>
      <c r="C198" s="17" t="s">
        <v>131</v>
      </c>
      <c r="D198" s="17" t="s">
        <v>258</v>
      </c>
      <c r="E198" s="17" t="s">
        <v>240</v>
      </c>
      <c r="F198" s="17" t="s">
        <v>944</v>
      </c>
      <c r="G198" s="17" t="s">
        <v>252</v>
      </c>
      <c r="H198" s="17" t="s">
        <v>253</v>
      </c>
      <c r="I198" s="17" t="s">
        <v>244</v>
      </c>
      <c r="J198" s="17" t="s">
        <v>669</v>
      </c>
    </row>
    <row r="199" spans="1:10" x14ac:dyDescent="0.25">
      <c r="A199" s="17" t="s">
        <v>945</v>
      </c>
      <c r="B199" s="17" t="s">
        <v>946</v>
      </c>
      <c r="C199" s="17" t="s">
        <v>947</v>
      </c>
      <c r="D199" s="17" t="s">
        <v>283</v>
      </c>
      <c r="E199" s="17" t="s">
        <v>240</v>
      </c>
      <c r="F199" s="17" t="s">
        <v>948</v>
      </c>
      <c r="G199" s="17" t="s">
        <v>242</v>
      </c>
      <c r="H199" s="17" t="s">
        <v>243</v>
      </c>
      <c r="I199" s="17" t="s">
        <v>244</v>
      </c>
      <c r="J199" s="17" t="s">
        <v>949</v>
      </c>
    </row>
    <row r="200" spans="1:10" x14ac:dyDescent="0.25">
      <c r="A200" s="17" t="s">
        <v>950</v>
      </c>
      <c r="B200" s="17" t="s">
        <v>939</v>
      </c>
      <c r="C200" s="17" t="s">
        <v>127</v>
      </c>
      <c r="D200" s="17" t="s">
        <v>250</v>
      </c>
      <c r="E200" s="17" t="s">
        <v>289</v>
      </c>
      <c r="F200" s="17" t="s">
        <v>951</v>
      </c>
      <c r="G200" s="17" t="s">
        <v>252</v>
      </c>
      <c r="H200" s="17" t="s">
        <v>260</v>
      </c>
      <c r="I200" s="17" t="s">
        <v>244</v>
      </c>
      <c r="J200" s="17" t="s">
        <v>307</v>
      </c>
    </row>
    <row r="201" spans="1:10" x14ac:dyDescent="0.25">
      <c r="A201" s="17" t="s">
        <v>952</v>
      </c>
      <c r="B201" s="17" t="s">
        <v>953</v>
      </c>
      <c r="C201" s="17" t="s">
        <v>127</v>
      </c>
      <c r="D201" s="17" t="s">
        <v>250</v>
      </c>
      <c r="E201" s="17" t="s">
        <v>240</v>
      </c>
      <c r="F201" s="17" t="s">
        <v>954</v>
      </c>
      <c r="G201" s="17" t="s">
        <v>252</v>
      </c>
      <c r="H201" s="17" t="s">
        <v>253</v>
      </c>
      <c r="I201" s="17" t="s">
        <v>244</v>
      </c>
      <c r="J201" s="17" t="s">
        <v>737</v>
      </c>
    </row>
    <row r="202" spans="1:10" x14ac:dyDescent="0.25">
      <c r="A202" s="17" t="s">
        <v>955</v>
      </c>
      <c r="B202" s="17" t="s">
        <v>956</v>
      </c>
      <c r="C202" s="17" t="s">
        <v>98</v>
      </c>
      <c r="D202" s="17" t="s">
        <v>258</v>
      </c>
      <c r="E202" s="17" t="s">
        <v>240</v>
      </c>
      <c r="F202" s="17" t="s">
        <v>957</v>
      </c>
      <c r="G202" s="17" t="s">
        <v>252</v>
      </c>
      <c r="H202" s="17" t="s">
        <v>260</v>
      </c>
      <c r="I202" s="17" t="s">
        <v>244</v>
      </c>
      <c r="J202" s="17" t="s">
        <v>958</v>
      </c>
    </row>
    <row r="203" spans="1:10" x14ac:dyDescent="0.25">
      <c r="A203" s="17" t="s">
        <v>959</v>
      </c>
      <c r="B203" s="17" t="s">
        <v>960</v>
      </c>
      <c r="C203" s="17" t="s">
        <v>379</v>
      </c>
      <c r="D203" s="17" t="s">
        <v>327</v>
      </c>
      <c r="E203" s="17" t="s">
        <v>240</v>
      </c>
      <c r="F203" s="17" t="s">
        <v>961</v>
      </c>
      <c r="G203" s="17" t="s">
        <v>252</v>
      </c>
      <c r="H203" s="17" t="s">
        <v>243</v>
      </c>
      <c r="I203" s="17" t="s">
        <v>244</v>
      </c>
      <c r="J203" s="17" t="s">
        <v>962</v>
      </c>
    </row>
    <row r="204" spans="1:10" x14ac:dyDescent="0.25">
      <c r="A204" s="17" t="s">
        <v>942</v>
      </c>
      <c r="B204" s="17" t="s">
        <v>943</v>
      </c>
      <c r="C204" s="17" t="s">
        <v>131</v>
      </c>
      <c r="D204" s="17" t="s">
        <v>258</v>
      </c>
      <c r="E204" s="17" t="s">
        <v>240</v>
      </c>
      <c r="F204" s="17" t="s">
        <v>944</v>
      </c>
      <c r="G204" s="17" t="s">
        <v>252</v>
      </c>
      <c r="H204" s="17" t="s">
        <v>253</v>
      </c>
      <c r="I204" s="17" t="s">
        <v>244</v>
      </c>
      <c r="J204" s="17" t="s">
        <v>669</v>
      </c>
    </row>
    <row r="205" spans="1:10" x14ac:dyDescent="0.25">
      <c r="A205" s="17" t="s">
        <v>963</v>
      </c>
      <c r="B205" s="17" t="s">
        <v>964</v>
      </c>
      <c r="C205" s="17" t="s">
        <v>111</v>
      </c>
      <c r="D205" s="17" t="s">
        <v>258</v>
      </c>
      <c r="E205" s="17" t="s">
        <v>240</v>
      </c>
      <c r="F205" s="17" t="s">
        <v>965</v>
      </c>
      <c r="G205" s="17" t="s">
        <v>252</v>
      </c>
      <c r="H205" s="17" t="s">
        <v>260</v>
      </c>
      <c r="I205" s="17" t="s">
        <v>244</v>
      </c>
      <c r="J205" s="17" t="s">
        <v>261</v>
      </c>
    </row>
    <row r="206" spans="1:10" x14ac:dyDescent="0.25">
      <c r="A206" s="17" t="s">
        <v>966</v>
      </c>
      <c r="B206" s="17" t="s">
        <v>967</v>
      </c>
      <c r="C206" s="17" t="s">
        <v>135</v>
      </c>
      <c r="D206" s="17" t="s">
        <v>327</v>
      </c>
      <c r="E206" s="17" t="s">
        <v>289</v>
      </c>
      <c r="F206" s="17" t="s">
        <v>968</v>
      </c>
      <c r="G206" s="17" t="s">
        <v>252</v>
      </c>
      <c r="H206" s="17" t="s">
        <v>243</v>
      </c>
      <c r="I206" s="17" t="s">
        <v>244</v>
      </c>
      <c r="J206" s="17" t="s">
        <v>969</v>
      </c>
    </row>
    <row r="207" spans="1:10" x14ac:dyDescent="0.25">
      <c r="A207" s="17" t="s">
        <v>970</v>
      </c>
      <c r="B207" s="17" t="s">
        <v>971</v>
      </c>
      <c r="C207" s="17" t="s">
        <v>119</v>
      </c>
      <c r="D207" s="17" t="s">
        <v>272</v>
      </c>
      <c r="E207" s="17" t="s">
        <v>289</v>
      </c>
      <c r="F207" s="17" t="s">
        <v>972</v>
      </c>
      <c r="G207" s="17" t="s">
        <v>252</v>
      </c>
      <c r="H207" s="17" t="s">
        <v>243</v>
      </c>
      <c r="I207" s="17" t="s">
        <v>244</v>
      </c>
      <c r="J207" s="17" t="s">
        <v>291</v>
      </c>
    </row>
    <row r="208" spans="1:10" x14ac:dyDescent="0.25">
      <c r="A208" s="17" t="s">
        <v>973</v>
      </c>
      <c r="B208" s="17" t="s">
        <v>964</v>
      </c>
      <c r="C208" s="17" t="s">
        <v>788</v>
      </c>
      <c r="D208" s="17" t="s">
        <v>283</v>
      </c>
      <c r="E208" s="17" t="s">
        <v>240</v>
      </c>
      <c r="F208" s="17" t="s">
        <v>974</v>
      </c>
      <c r="G208" s="17" t="s">
        <v>252</v>
      </c>
      <c r="H208" s="17" t="s">
        <v>260</v>
      </c>
      <c r="I208" s="17" t="s">
        <v>244</v>
      </c>
      <c r="J208" s="17" t="s">
        <v>414</v>
      </c>
    </row>
    <row r="209" spans="1:10" x14ac:dyDescent="0.25">
      <c r="A209" s="17" t="s">
        <v>975</v>
      </c>
      <c r="B209" s="17" t="s">
        <v>976</v>
      </c>
      <c r="C209" s="17" t="s">
        <v>111</v>
      </c>
      <c r="D209" s="17" t="s">
        <v>258</v>
      </c>
      <c r="E209" s="17" t="s">
        <v>240</v>
      </c>
      <c r="F209" s="17" t="s">
        <v>977</v>
      </c>
      <c r="G209" s="17" t="s">
        <v>242</v>
      </c>
      <c r="H209" s="17" t="s">
        <v>260</v>
      </c>
      <c r="I209" s="17" t="s">
        <v>244</v>
      </c>
      <c r="J209" s="17" t="s">
        <v>978</v>
      </c>
    </row>
    <row r="210" spans="1:10" x14ac:dyDescent="0.25">
      <c r="A210" s="17" t="s">
        <v>979</v>
      </c>
      <c r="B210" s="17" t="s">
        <v>980</v>
      </c>
      <c r="C210" s="17" t="s">
        <v>111</v>
      </c>
      <c r="D210" s="17" t="s">
        <v>258</v>
      </c>
      <c r="E210" s="17" t="s">
        <v>289</v>
      </c>
      <c r="F210" s="17" t="s">
        <v>981</v>
      </c>
      <c r="G210" s="17" t="s">
        <v>252</v>
      </c>
      <c r="H210" s="17" t="s">
        <v>253</v>
      </c>
      <c r="I210" s="17" t="s">
        <v>244</v>
      </c>
      <c r="J210" s="17" t="s">
        <v>669</v>
      </c>
    </row>
    <row r="211" spans="1:10" x14ac:dyDescent="0.25">
      <c r="A211" s="17" t="s">
        <v>982</v>
      </c>
      <c r="B211" s="17" t="s">
        <v>983</v>
      </c>
      <c r="C211" s="17" t="s">
        <v>117</v>
      </c>
      <c r="D211" s="17" t="s">
        <v>250</v>
      </c>
      <c r="E211" s="17" t="s">
        <v>240</v>
      </c>
      <c r="F211" s="17" t="s">
        <v>984</v>
      </c>
      <c r="G211" s="17" t="s">
        <v>252</v>
      </c>
      <c r="H211" s="17" t="s">
        <v>260</v>
      </c>
      <c r="I211" s="17" t="s">
        <v>244</v>
      </c>
      <c r="J211" s="17" t="s">
        <v>985</v>
      </c>
    </row>
    <row r="212" spans="1:10" x14ac:dyDescent="0.25">
      <c r="A212" s="17" t="s">
        <v>986</v>
      </c>
      <c r="B212" s="17" t="s">
        <v>987</v>
      </c>
      <c r="C212" s="17" t="s">
        <v>932</v>
      </c>
      <c r="D212" s="17" t="s">
        <v>258</v>
      </c>
      <c r="E212" s="17" t="s">
        <v>289</v>
      </c>
      <c r="F212" s="17" t="s">
        <v>988</v>
      </c>
      <c r="G212" s="17" t="s">
        <v>252</v>
      </c>
      <c r="H212" s="17" t="s">
        <v>253</v>
      </c>
      <c r="I212" s="17" t="s">
        <v>244</v>
      </c>
      <c r="J212" s="17" t="s">
        <v>493</v>
      </c>
    </row>
    <row r="213" spans="1:10" x14ac:dyDescent="0.25">
      <c r="A213" s="17" t="s">
        <v>989</v>
      </c>
      <c r="B213" s="17" t="s">
        <v>990</v>
      </c>
      <c r="C213" s="17" t="s">
        <v>121</v>
      </c>
      <c r="D213" s="17" t="s">
        <v>258</v>
      </c>
      <c r="E213" s="17" t="s">
        <v>240</v>
      </c>
      <c r="F213" s="17" t="s">
        <v>991</v>
      </c>
      <c r="G213" s="17" t="s">
        <v>252</v>
      </c>
      <c r="H213" s="17" t="s">
        <v>243</v>
      </c>
      <c r="I213" s="17" t="s">
        <v>244</v>
      </c>
      <c r="J213" s="17" t="s">
        <v>992</v>
      </c>
    </row>
    <row r="214" spans="1:10" x14ac:dyDescent="0.25">
      <c r="A214" s="17" t="s">
        <v>993</v>
      </c>
      <c r="B214" s="17" t="s">
        <v>994</v>
      </c>
      <c r="C214" s="17" t="s">
        <v>84</v>
      </c>
      <c r="D214" s="17" t="s">
        <v>327</v>
      </c>
      <c r="E214" s="17" t="s">
        <v>240</v>
      </c>
      <c r="F214" s="17" t="s">
        <v>995</v>
      </c>
      <c r="G214" s="17" t="s">
        <v>252</v>
      </c>
      <c r="H214" s="17" t="s">
        <v>253</v>
      </c>
      <c r="I214" s="17" t="s">
        <v>244</v>
      </c>
      <c r="J214" s="17" t="s">
        <v>996</v>
      </c>
    </row>
    <row r="215" spans="1:10" x14ac:dyDescent="0.25">
      <c r="A215" s="17" t="s">
        <v>997</v>
      </c>
      <c r="B215" s="17" t="s">
        <v>998</v>
      </c>
      <c r="C215" s="17" t="s">
        <v>131</v>
      </c>
      <c r="D215" s="17"/>
      <c r="E215" s="17" t="s">
        <v>289</v>
      </c>
      <c r="F215" s="17" t="s">
        <v>999</v>
      </c>
      <c r="G215" s="17" t="s">
        <v>252</v>
      </c>
      <c r="H215" s="17" t="s">
        <v>260</v>
      </c>
      <c r="I215" s="17" t="s">
        <v>244</v>
      </c>
      <c r="J215" s="17" t="s">
        <v>958</v>
      </c>
    </row>
    <row r="216" spans="1:10" x14ac:dyDescent="0.25">
      <c r="A216" s="17" t="s">
        <v>1000</v>
      </c>
      <c r="B216" s="17" t="s">
        <v>1001</v>
      </c>
      <c r="C216" s="17" t="s">
        <v>249</v>
      </c>
      <c r="D216" s="17" t="s">
        <v>250</v>
      </c>
      <c r="E216" s="17" t="s">
        <v>240</v>
      </c>
      <c r="F216" s="17" t="s">
        <v>1002</v>
      </c>
      <c r="G216" s="17" t="s">
        <v>252</v>
      </c>
      <c r="H216" s="17" t="s">
        <v>260</v>
      </c>
      <c r="I216" s="17" t="s">
        <v>244</v>
      </c>
      <c r="J216" s="17" t="s">
        <v>279</v>
      </c>
    </row>
    <row r="217" spans="1:10" x14ac:dyDescent="0.25">
      <c r="A217" s="17" t="s">
        <v>1003</v>
      </c>
      <c r="B217" s="17" t="s">
        <v>1004</v>
      </c>
      <c r="C217" s="17" t="s">
        <v>129</v>
      </c>
      <c r="D217" s="17" t="s">
        <v>272</v>
      </c>
      <c r="E217" s="17" t="s">
        <v>240</v>
      </c>
      <c r="F217" s="17" t="s">
        <v>1005</v>
      </c>
      <c r="G217" s="17" t="s">
        <v>252</v>
      </c>
      <c r="H217" s="17" t="s">
        <v>266</v>
      </c>
      <c r="I217" s="17" t="s">
        <v>267</v>
      </c>
      <c r="J217" s="17" t="s">
        <v>1006</v>
      </c>
    </row>
    <row r="218" spans="1:10" x14ac:dyDescent="0.25">
      <c r="A218" s="17" t="s">
        <v>1007</v>
      </c>
      <c r="B218" s="17" t="s">
        <v>1008</v>
      </c>
      <c r="C218" s="17" t="s">
        <v>78</v>
      </c>
      <c r="D218" s="17" t="s">
        <v>283</v>
      </c>
      <c r="E218" s="17" t="s">
        <v>289</v>
      </c>
      <c r="F218" s="17" t="s">
        <v>1009</v>
      </c>
      <c r="G218" s="17" t="s">
        <v>242</v>
      </c>
      <c r="H218" s="17" t="s">
        <v>253</v>
      </c>
      <c r="I218" s="17" t="s">
        <v>244</v>
      </c>
      <c r="J218" s="17" t="s">
        <v>372</v>
      </c>
    </row>
    <row r="219" spans="1:10" x14ac:dyDescent="0.25">
      <c r="A219" s="17" t="s">
        <v>1010</v>
      </c>
      <c r="B219" s="17" t="s">
        <v>1011</v>
      </c>
      <c r="C219" s="17" t="s">
        <v>135</v>
      </c>
      <c r="D219" s="17" t="s">
        <v>327</v>
      </c>
      <c r="E219" s="17" t="s">
        <v>240</v>
      </c>
      <c r="F219" s="17" t="s">
        <v>1012</v>
      </c>
      <c r="G219" s="17" t="s">
        <v>252</v>
      </c>
      <c r="H219" s="17" t="s">
        <v>243</v>
      </c>
      <c r="I219" s="17" t="s">
        <v>244</v>
      </c>
      <c r="J219" s="17" t="s">
        <v>1013</v>
      </c>
    </row>
    <row r="220" spans="1:10" x14ac:dyDescent="0.25">
      <c r="A220" s="17" t="s">
        <v>1014</v>
      </c>
      <c r="B220" s="17" t="s">
        <v>1004</v>
      </c>
      <c r="C220" s="17" t="s">
        <v>379</v>
      </c>
      <c r="D220" s="17" t="s">
        <v>327</v>
      </c>
      <c r="E220" s="17" t="s">
        <v>289</v>
      </c>
      <c r="F220" s="17" t="s">
        <v>1015</v>
      </c>
      <c r="G220" s="17" t="s">
        <v>252</v>
      </c>
      <c r="H220" s="17" t="s">
        <v>243</v>
      </c>
      <c r="I220" s="17" t="s">
        <v>244</v>
      </c>
      <c r="J220" s="17" t="s">
        <v>1016</v>
      </c>
    </row>
    <row r="221" spans="1:10" x14ac:dyDescent="0.25">
      <c r="A221" s="17" t="s">
        <v>1017</v>
      </c>
      <c r="B221" s="17" t="s">
        <v>1008</v>
      </c>
      <c r="C221" s="17" t="s">
        <v>113</v>
      </c>
      <c r="D221" s="17" t="s">
        <v>283</v>
      </c>
      <c r="E221" s="17" t="s">
        <v>240</v>
      </c>
      <c r="F221" s="17" t="s">
        <v>1018</v>
      </c>
      <c r="G221" s="17" t="s">
        <v>252</v>
      </c>
      <c r="H221" s="17" t="s">
        <v>266</v>
      </c>
      <c r="I221" s="17" t="s">
        <v>267</v>
      </c>
      <c r="J221" s="17" t="s">
        <v>1019</v>
      </c>
    </row>
    <row r="222" spans="1:10" x14ac:dyDescent="0.25">
      <c r="A222" s="17" t="s">
        <v>1020</v>
      </c>
      <c r="B222" s="17" t="s">
        <v>1011</v>
      </c>
      <c r="C222" s="17" t="s">
        <v>117</v>
      </c>
      <c r="D222" s="17" t="s">
        <v>250</v>
      </c>
      <c r="E222" s="17" t="s">
        <v>240</v>
      </c>
      <c r="F222" s="17" t="s">
        <v>1021</v>
      </c>
      <c r="G222" s="17" t="s">
        <v>252</v>
      </c>
      <c r="H222" s="17" t="s">
        <v>253</v>
      </c>
      <c r="I222" s="17" t="s">
        <v>244</v>
      </c>
      <c r="J222" s="17" t="s">
        <v>737</v>
      </c>
    </row>
    <row r="223" spans="1:10" x14ac:dyDescent="0.25">
      <c r="A223" s="17" t="s">
        <v>1022</v>
      </c>
      <c r="B223" s="17" t="s">
        <v>1004</v>
      </c>
      <c r="C223" s="17" t="s">
        <v>84</v>
      </c>
      <c r="D223" s="17" t="s">
        <v>327</v>
      </c>
      <c r="E223" s="17" t="s">
        <v>240</v>
      </c>
      <c r="F223" s="17" t="s">
        <v>1023</v>
      </c>
      <c r="G223" s="17" t="s">
        <v>252</v>
      </c>
      <c r="H223" s="17" t="s">
        <v>253</v>
      </c>
      <c r="I223" s="17" t="s">
        <v>244</v>
      </c>
      <c r="J223" s="17" t="s">
        <v>722</v>
      </c>
    </row>
    <row r="224" spans="1:10" x14ac:dyDescent="0.25">
      <c r="A224" s="17" t="s">
        <v>1024</v>
      </c>
      <c r="B224" s="17" t="s">
        <v>1025</v>
      </c>
      <c r="C224" s="17" t="s">
        <v>1026</v>
      </c>
      <c r="D224" s="17" t="s">
        <v>272</v>
      </c>
      <c r="E224" s="17" t="s">
        <v>240</v>
      </c>
      <c r="F224" s="17" t="s">
        <v>1027</v>
      </c>
      <c r="G224" s="17" t="s">
        <v>252</v>
      </c>
      <c r="H224" s="17" t="s">
        <v>260</v>
      </c>
      <c r="I224" s="17" t="s">
        <v>244</v>
      </c>
      <c r="J224" s="17" t="s">
        <v>609</v>
      </c>
    </row>
    <row r="225" spans="1:10" x14ac:dyDescent="0.25">
      <c r="A225" s="17" t="s">
        <v>1028</v>
      </c>
      <c r="B225" s="17" t="s">
        <v>1029</v>
      </c>
      <c r="C225" s="17" t="s">
        <v>101</v>
      </c>
      <c r="D225" s="17" t="s">
        <v>283</v>
      </c>
      <c r="E225" s="17" t="s">
        <v>240</v>
      </c>
      <c r="F225" s="17" t="s">
        <v>1030</v>
      </c>
      <c r="G225" s="17" t="s">
        <v>252</v>
      </c>
      <c r="H225" s="17" t="s">
        <v>243</v>
      </c>
      <c r="I225" s="17" t="s">
        <v>244</v>
      </c>
      <c r="J225" s="17" t="s">
        <v>419</v>
      </c>
    </row>
    <row r="226" spans="1:10" x14ac:dyDescent="0.25">
      <c r="A226" s="17" t="s">
        <v>1031</v>
      </c>
      <c r="B226" s="17" t="s">
        <v>1032</v>
      </c>
      <c r="C226" s="17" t="s">
        <v>104</v>
      </c>
      <c r="D226" s="17" t="s">
        <v>327</v>
      </c>
      <c r="E226" s="17" t="s">
        <v>240</v>
      </c>
      <c r="F226" s="17" t="s">
        <v>1033</v>
      </c>
      <c r="G226" s="17" t="s">
        <v>252</v>
      </c>
      <c r="H226" s="17" t="s">
        <v>266</v>
      </c>
      <c r="I226" s="17" t="s">
        <v>267</v>
      </c>
      <c r="J226" s="17" t="s">
        <v>1034</v>
      </c>
    </row>
    <row r="227" spans="1:10" x14ac:dyDescent="0.25">
      <c r="A227" s="17" t="s">
        <v>1035</v>
      </c>
      <c r="B227" s="17" t="s">
        <v>1025</v>
      </c>
      <c r="C227" s="17" t="s">
        <v>129</v>
      </c>
      <c r="D227" s="17" t="s">
        <v>272</v>
      </c>
      <c r="E227" s="17" t="s">
        <v>240</v>
      </c>
      <c r="F227" s="17" t="s">
        <v>1036</v>
      </c>
      <c r="G227" s="17" t="s">
        <v>242</v>
      </c>
      <c r="H227" s="17" t="s">
        <v>253</v>
      </c>
      <c r="I227" s="17" t="s">
        <v>244</v>
      </c>
      <c r="J227" s="17" t="s">
        <v>1037</v>
      </c>
    </row>
    <row r="228" spans="1:10" x14ac:dyDescent="0.25">
      <c r="A228" s="17" t="s">
        <v>1038</v>
      </c>
      <c r="B228" s="17" t="s">
        <v>1039</v>
      </c>
      <c r="C228" s="17" t="s">
        <v>300</v>
      </c>
      <c r="D228" s="17" t="s">
        <v>272</v>
      </c>
      <c r="E228" s="17" t="s">
        <v>240</v>
      </c>
      <c r="F228" s="17" t="s">
        <v>1040</v>
      </c>
      <c r="G228" s="17" t="s">
        <v>252</v>
      </c>
      <c r="H228" s="17" t="s">
        <v>260</v>
      </c>
      <c r="I228" s="17" t="s">
        <v>244</v>
      </c>
      <c r="J228" s="17" t="s">
        <v>1041</v>
      </c>
    </row>
    <row r="229" spans="1:10" x14ac:dyDescent="0.25">
      <c r="A229" s="17" t="s">
        <v>1042</v>
      </c>
      <c r="B229" s="17" t="s">
        <v>1043</v>
      </c>
      <c r="C229" s="17" t="s">
        <v>129</v>
      </c>
      <c r="D229" s="17" t="s">
        <v>272</v>
      </c>
      <c r="E229" s="17" t="s">
        <v>289</v>
      </c>
      <c r="F229" s="17" t="s">
        <v>1044</v>
      </c>
      <c r="G229" s="17" t="s">
        <v>252</v>
      </c>
      <c r="H229" s="17" t="s">
        <v>266</v>
      </c>
      <c r="I229" s="17" t="s">
        <v>267</v>
      </c>
      <c r="J229" s="17" t="s">
        <v>1006</v>
      </c>
    </row>
    <row r="230" spans="1:10" x14ac:dyDescent="0.25">
      <c r="A230" s="17" t="s">
        <v>1045</v>
      </c>
      <c r="B230" s="17" t="s">
        <v>1046</v>
      </c>
      <c r="C230" s="17" t="s">
        <v>119</v>
      </c>
      <c r="D230" s="17" t="s">
        <v>272</v>
      </c>
      <c r="E230" s="17" t="s">
        <v>289</v>
      </c>
      <c r="F230" s="17" t="s">
        <v>1047</v>
      </c>
      <c r="G230" s="17" t="s">
        <v>252</v>
      </c>
      <c r="H230" s="17" t="s">
        <v>266</v>
      </c>
      <c r="I230" s="17" t="s">
        <v>267</v>
      </c>
      <c r="J230" s="17" t="s">
        <v>541</v>
      </c>
    </row>
    <row r="231" spans="1:10" x14ac:dyDescent="0.25">
      <c r="A231" s="17" t="s">
        <v>1048</v>
      </c>
      <c r="B231" s="17" t="s">
        <v>1049</v>
      </c>
      <c r="C231" s="17" t="s">
        <v>135</v>
      </c>
      <c r="D231" s="17" t="s">
        <v>327</v>
      </c>
      <c r="E231" s="17" t="s">
        <v>240</v>
      </c>
      <c r="F231" s="17" t="s">
        <v>1050</v>
      </c>
      <c r="G231" s="17" t="s">
        <v>252</v>
      </c>
      <c r="H231" s="17" t="s">
        <v>243</v>
      </c>
      <c r="I231" s="17" t="s">
        <v>244</v>
      </c>
      <c r="J231" s="17" t="s">
        <v>1051</v>
      </c>
    </row>
    <row r="232" spans="1:10" x14ac:dyDescent="0.25">
      <c r="A232" s="17" t="s">
        <v>1052</v>
      </c>
      <c r="B232" s="17" t="s">
        <v>1043</v>
      </c>
      <c r="C232" s="17" t="s">
        <v>865</v>
      </c>
      <c r="D232" s="17"/>
      <c r="E232" s="17" t="s">
        <v>240</v>
      </c>
      <c r="F232" s="17" t="s">
        <v>1053</v>
      </c>
      <c r="G232" s="17" t="s">
        <v>252</v>
      </c>
      <c r="H232" s="17" t="s">
        <v>243</v>
      </c>
      <c r="I232" s="17" t="s">
        <v>244</v>
      </c>
      <c r="J232" s="17" t="s">
        <v>1054</v>
      </c>
    </row>
    <row r="233" spans="1:10" x14ac:dyDescent="0.25">
      <c r="A233" s="17" t="s">
        <v>1055</v>
      </c>
      <c r="B233" s="17" t="s">
        <v>1046</v>
      </c>
      <c r="C233" s="17" t="s">
        <v>66</v>
      </c>
      <c r="D233" s="17" t="s">
        <v>272</v>
      </c>
      <c r="E233" s="17" t="s">
        <v>240</v>
      </c>
      <c r="F233" s="17" t="s">
        <v>1056</v>
      </c>
      <c r="G233" s="17" t="s">
        <v>252</v>
      </c>
      <c r="H233" s="17" t="s">
        <v>253</v>
      </c>
      <c r="I233" s="17" t="s">
        <v>244</v>
      </c>
      <c r="J233" s="17" t="s">
        <v>897</v>
      </c>
    </row>
    <row r="234" spans="1:10" x14ac:dyDescent="0.25">
      <c r="A234" s="17" t="s">
        <v>1057</v>
      </c>
      <c r="B234" s="17" t="s">
        <v>1049</v>
      </c>
      <c r="C234" s="17" t="s">
        <v>101</v>
      </c>
      <c r="D234" s="17" t="s">
        <v>283</v>
      </c>
      <c r="E234" s="17" t="s">
        <v>240</v>
      </c>
      <c r="F234" s="17" t="s">
        <v>1058</v>
      </c>
      <c r="G234" s="17" t="s">
        <v>252</v>
      </c>
      <c r="H234" s="17" t="s">
        <v>266</v>
      </c>
      <c r="I234" s="17" t="s">
        <v>267</v>
      </c>
      <c r="J234" s="17" t="s">
        <v>343</v>
      </c>
    </row>
    <row r="235" spans="1:10" x14ac:dyDescent="0.25">
      <c r="A235" s="17" t="s">
        <v>1059</v>
      </c>
      <c r="B235" s="17" t="s">
        <v>1043</v>
      </c>
      <c r="C235" s="17" t="s">
        <v>123</v>
      </c>
      <c r="D235" s="17" t="s">
        <v>283</v>
      </c>
      <c r="E235" s="17" t="s">
        <v>240</v>
      </c>
      <c r="F235" s="17" t="s">
        <v>1060</v>
      </c>
      <c r="G235" s="17" t="s">
        <v>252</v>
      </c>
      <c r="H235" s="17" t="s">
        <v>266</v>
      </c>
      <c r="I235" s="17" t="s">
        <v>267</v>
      </c>
      <c r="J235" s="17" t="s">
        <v>1061</v>
      </c>
    </row>
    <row r="236" spans="1:10" x14ac:dyDescent="0.25">
      <c r="A236" s="17" t="s">
        <v>1062</v>
      </c>
      <c r="B236" s="17" t="s">
        <v>1046</v>
      </c>
      <c r="C236" s="17" t="s">
        <v>300</v>
      </c>
      <c r="D236" s="17" t="s">
        <v>272</v>
      </c>
      <c r="E236" s="17" t="s">
        <v>289</v>
      </c>
      <c r="F236" s="17" t="s">
        <v>1063</v>
      </c>
      <c r="G236" s="17" t="s">
        <v>242</v>
      </c>
      <c r="H236" s="17" t="s">
        <v>243</v>
      </c>
      <c r="I236" s="17" t="s">
        <v>244</v>
      </c>
      <c r="J236" s="17" t="s">
        <v>1064</v>
      </c>
    </row>
    <row r="237" spans="1:10" x14ac:dyDescent="0.25">
      <c r="A237" s="17" t="s">
        <v>1065</v>
      </c>
      <c r="B237" s="17" t="s">
        <v>1066</v>
      </c>
      <c r="C237" s="17" t="s">
        <v>113</v>
      </c>
      <c r="D237" s="17" t="s">
        <v>283</v>
      </c>
      <c r="E237" s="17" t="s">
        <v>289</v>
      </c>
      <c r="F237" s="17" t="s">
        <v>1067</v>
      </c>
      <c r="G237" s="17" t="s">
        <v>252</v>
      </c>
      <c r="H237" s="17" t="s">
        <v>253</v>
      </c>
      <c r="I237" s="17" t="s">
        <v>244</v>
      </c>
      <c r="J237" s="17" t="s">
        <v>1068</v>
      </c>
    </row>
    <row r="238" spans="1:10" x14ac:dyDescent="0.25">
      <c r="A238" s="17" t="s">
        <v>1052</v>
      </c>
      <c r="B238" s="17" t="s">
        <v>1043</v>
      </c>
      <c r="C238" s="17" t="s">
        <v>865</v>
      </c>
      <c r="D238" s="17"/>
      <c r="E238" s="17" t="s">
        <v>240</v>
      </c>
      <c r="F238" s="17" t="s">
        <v>1053</v>
      </c>
      <c r="G238" s="17" t="s">
        <v>252</v>
      </c>
      <c r="H238" s="17" t="s">
        <v>243</v>
      </c>
      <c r="I238" s="17" t="s">
        <v>244</v>
      </c>
      <c r="J238" s="17" t="s">
        <v>1054</v>
      </c>
    </row>
    <row r="239" spans="1:10" x14ac:dyDescent="0.25">
      <c r="A239" s="17" t="s">
        <v>1069</v>
      </c>
      <c r="B239" s="17" t="s">
        <v>1070</v>
      </c>
      <c r="C239" s="17" t="s">
        <v>115</v>
      </c>
      <c r="D239" s="17" t="s">
        <v>327</v>
      </c>
      <c r="E239" s="17" t="s">
        <v>240</v>
      </c>
      <c r="F239" s="17" t="s">
        <v>1071</v>
      </c>
      <c r="G239" s="17" t="s">
        <v>252</v>
      </c>
      <c r="H239" s="17" t="s">
        <v>266</v>
      </c>
      <c r="I239" s="17" t="s">
        <v>267</v>
      </c>
      <c r="J239" s="17" t="s">
        <v>741</v>
      </c>
    </row>
    <row r="240" spans="1:10" x14ac:dyDescent="0.25">
      <c r="A240" s="17" t="s">
        <v>1072</v>
      </c>
      <c r="B240" s="17" t="s">
        <v>1073</v>
      </c>
      <c r="C240" s="17" t="s">
        <v>98</v>
      </c>
      <c r="D240" s="17" t="s">
        <v>258</v>
      </c>
      <c r="E240" s="17" t="s">
        <v>289</v>
      </c>
      <c r="F240" s="17" t="s">
        <v>1074</v>
      </c>
      <c r="G240" s="17" t="s">
        <v>252</v>
      </c>
      <c r="H240" s="17" t="s">
        <v>243</v>
      </c>
      <c r="I240" s="17" t="s">
        <v>244</v>
      </c>
      <c r="J240" s="17" t="s">
        <v>315</v>
      </c>
    </row>
    <row r="241" spans="1:10" x14ac:dyDescent="0.25">
      <c r="A241" s="17" t="s">
        <v>1075</v>
      </c>
      <c r="B241" s="17" t="s">
        <v>1066</v>
      </c>
      <c r="C241" s="17" t="s">
        <v>396</v>
      </c>
      <c r="D241" s="17" t="s">
        <v>272</v>
      </c>
      <c r="E241" s="17" t="s">
        <v>240</v>
      </c>
      <c r="F241" s="17" t="s">
        <v>1076</v>
      </c>
      <c r="G241" s="17" t="s">
        <v>252</v>
      </c>
      <c r="H241" s="17" t="s">
        <v>243</v>
      </c>
      <c r="I241" s="17" t="s">
        <v>244</v>
      </c>
      <c r="J241" s="17" t="s">
        <v>1077</v>
      </c>
    </row>
    <row r="242" spans="1:10" x14ac:dyDescent="0.25">
      <c r="A242" s="17" t="s">
        <v>1078</v>
      </c>
      <c r="B242" s="17" t="s">
        <v>1070</v>
      </c>
      <c r="C242" s="17" t="s">
        <v>123</v>
      </c>
      <c r="D242" s="17" t="s">
        <v>283</v>
      </c>
      <c r="E242" s="17" t="s">
        <v>240</v>
      </c>
      <c r="F242" s="17" t="s">
        <v>1079</v>
      </c>
      <c r="G242" s="17" t="s">
        <v>252</v>
      </c>
      <c r="H242" s="17" t="s">
        <v>260</v>
      </c>
      <c r="I242" s="17" t="s">
        <v>244</v>
      </c>
      <c r="J242" s="17" t="s">
        <v>1080</v>
      </c>
    </row>
    <row r="243" spans="1:10" x14ac:dyDescent="0.25">
      <c r="A243" s="17" t="s">
        <v>1081</v>
      </c>
      <c r="B243" s="17" t="s">
        <v>1073</v>
      </c>
      <c r="C243" s="17" t="s">
        <v>125</v>
      </c>
      <c r="D243" s="17" t="s">
        <v>327</v>
      </c>
      <c r="E243" s="17" t="s">
        <v>240</v>
      </c>
      <c r="F243" s="17" t="s">
        <v>1082</v>
      </c>
      <c r="G243" s="17" t="s">
        <v>252</v>
      </c>
      <c r="H243" s="17" t="s">
        <v>253</v>
      </c>
      <c r="I243" s="17" t="s">
        <v>244</v>
      </c>
      <c r="J243" s="17" t="s">
        <v>1083</v>
      </c>
    </row>
    <row r="244" spans="1:10" x14ac:dyDescent="0.25">
      <c r="A244" s="17" t="s">
        <v>1084</v>
      </c>
      <c r="B244" s="17" t="s">
        <v>1085</v>
      </c>
      <c r="C244" s="17" t="s">
        <v>133</v>
      </c>
      <c r="D244" s="17" t="s">
        <v>283</v>
      </c>
      <c r="E244" s="17" t="s">
        <v>240</v>
      </c>
      <c r="F244" s="17" t="s">
        <v>1086</v>
      </c>
      <c r="G244" s="17" t="s">
        <v>252</v>
      </c>
      <c r="H244" s="17" t="s">
        <v>253</v>
      </c>
      <c r="I244" s="17" t="s">
        <v>244</v>
      </c>
      <c r="J244" s="17" t="s">
        <v>372</v>
      </c>
    </row>
    <row r="245" spans="1:10" x14ac:dyDescent="0.25">
      <c r="A245" s="17" t="s">
        <v>1087</v>
      </c>
      <c r="B245" s="17" t="s">
        <v>1088</v>
      </c>
      <c r="C245" s="17" t="s">
        <v>446</v>
      </c>
      <c r="D245" s="17" t="s">
        <v>283</v>
      </c>
      <c r="E245" s="17" t="s">
        <v>240</v>
      </c>
      <c r="F245" s="17" t="s">
        <v>1089</v>
      </c>
      <c r="G245" s="17" t="s">
        <v>252</v>
      </c>
      <c r="H245" s="17" t="s">
        <v>253</v>
      </c>
      <c r="I245" s="17" t="s">
        <v>244</v>
      </c>
      <c r="J245" s="17" t="s">
        <v>576</v>
      </c>
    </row>
    <row r="246" spans="1:10" x14ac:dyDescent="0.25">
      <c r="A246" s="17" t="s">
        <v>1090</v>
      </c>
      <c r="B246" s="17" t="s">
        <v>1091</v>
      </c>
      <c r="C246" s="17" t="s">
        <v>131</v>
      </c>
      <c r="D246" s="17" t="s">
        <v>258</v>
      </c>
      <c r="E246" s="17" t="s">
        <v>240</v>
      </c>
      <c r="F246" s="17" t="s">
        <v>1092</v>
      </c>
      <c r="G246" s="17" t="s">
        <v>242</v>
      </c>
      <c r="H246" s="17" t="s">
        <v>266</v>
      </c>
      <c r="I246" s="17" t="s">
        <v>267</v>
      </c>
      <c r="J246" s="17" t="s">
        <v>1093</v>
      </c>
    </row>
    <row r="247" spans="1:10" x14ac:dyDescent="0.25">
      <c r="A247" s="17" t="s">
        <v>1094</v>
      </c>
      <c r="B247" s="17" t="s">
        <v>1095</v>
      </c>
      <c r="C247" s="17" t="s">
        <v>129</v>
      </c>
      <c r="D247" s="17" t="s">
        <v>272</v>
      </c>
      <c r="E247" s="17" t="s">
        <v>240</v>
      </c>
      <c r="F247" s="17" t="s">
        <v>1096</v>
      </c>
      <c r="G247" s="17" t="s">
        <v>252</v>
      </c>
      <c r="H247" s="17" t="s">
        <v>266</v>
      </c>
      <c r="I247" s="17" t="s">
        <v>267</v>
      </c>
      <c r="J247" s="17" t="s">
        <v>851</v>
      </c>
    </row>
    <row r="248" spans="1:10" x14ac:dyDescent="0.25">
      <c r="A248" s="17" t="s">
        <v>1097</v>
      </c>
      <c r="B248" s="17" t="s">
        <v>1098</v>
      </c>
      <c r="C248" s="17" t="s">
        <v>91</v>
      </c>
      <c r="D248" s="17" t="s">
        <v>250</v>
      </c>
      <c r="E248" s="17" t="s">
        <v>240</v>
      </c>
      <c r="F248" s="17" t="s">
        <v>1099</v>
      </c>
      <c r="G248" s="17" t="s">
        <v>252</v>
      </c>
      <c r="H248" s="17" t="s">
        <v>266</v>
      </c>
      <c r="I248" s="17" t="s">
        <v>267</v>
      </c>
      <c r="J248" s="17" t="s">
        <v>268</v>
      </c>
    </row>
    <row r="249" spans="1:10" x14ac:dyDescent="0.25">
      <c r="A249" s="17" t="s">
        <v>1100</v>
      </c>
      <c r="B249" s="17" t="s">
        <v>1101</v>
      </c>
      <c r="C249" s="17" t="s">
        <v>1102</v>
      </c>
      <c r="D249" s="17" t="s">
        <v>272</v>
      </c>
      <c r="E249" s="17" t="s">
        <v>240</v>
      </c>
      <c r="F249" s="17" t="s">
        <v>1103</v>
      </c>
      <c r="G249" s="17" t="s">
        <v>252</v>
      </c>
      <c r="H249" s="17" t="s">
        <v>260</v>
      </c>
      <c r="I249" s="17" t="s">
        <v>244</v>
      </c>
      <c r="J249" s="17" t="s">
        <v>609</v>
      </c>
    </row>
    <row r="250" spans="1:10" x14ac:dyDescent="0.25">
      <c r="A250" s="17" t="s">
        <v>1104</v>
      </c>
      <c r="B250" s="17" t="s">
        <v>1095</v>
      </c>
      <c r="C250" s="17" t="s">
        <v>125</v>
      </c>
      <c r="D250" s="17"/>
      <c r="E250" s="17" t="s">
        <v>240</v>
      </c>
      <c r="F250" s="17" t="s">
        <v>1105</v>
      </c>
      <c r="G250" s="17" t="s">
        <v>252</v>
      </c>
      <c r="H250" s="17" t="s">
        <v>266</v>
      </c>
      <c r="I250" s="17" t="s">
        <v>267</v>
      </c>
      <c r="J250" s="17" t="s">
        <v>1106</v>
      </c>
    </row>
    <row r="251" spans="1:10" x14ac:dyDescent="0.25">
      <c r="A251" s="17" t="s">
        <v>1107</v>
      </c>
      <c r="B251" s="17" t="s">
        <v>1098</v>
      </c>
      <c r="C251" s="17" t="s">
        <v>78</v>
      </c>
      <c r="D251" s="17" t="s">
        <v>283</v>
      </c>
      <c r="E251" s="17" t="s">
        <v>289</v>
      </c>
      <c r="F251" s="17" t="s">
        <v>1108</v>
      </c>
      <c r="G251" s="17" t="s">
        <v>252</v>
      </c>
      <c r="H251" s="17" t="s">
        <v>266</v>
      </c>
      <c r="I251" s="17" t="s">
        <v>267</v>
      </c>
      <c r="J251" s="17" t="s">
        <v>343</v>
      </c>
    </row>
    <row r="252" spans="1:10" x14ac:dyDescent="0.25">
      <c r="A252" s="17" t="s">
        <v>1109</v>
      </c>
      <c r="B252" s="17" t="s">
        <v>1101</v>
      </c>
      <c r="C252" s="17" t="s">
        <v>119</v>
      </c>
      <c r="D252" s="17" t="s">
        <v>272</v>
      </c>
      <c r="E252" s="17" t="s">
        <v>240</v>
      </c>
      <c r="F252" s="17" t="s">
        <v>1110</v>
      </c>
      <c r="G252" s="17" t="s">
        <v>252</v>
      </c>
      <c r="H252" s="17" t="s">
        <v>243</v>
      </c>
      <c r="I252" s="17" t="s">
        <v>244</v>
      </c>
      <c r="J252" s="17" t="s">
        <v>1111</v>
      </c>
    </row>
    <row r="253" spans="1:10" x14ac:dyDescent="0.25">
      <c r="A253" s="17" t="s">
        <v>1112</v>
      </c>
      <c r="B253" s="17" t="s">
        <v>1095</v>
      </c>
      <c r="C253" s="17" t="s">
        <v>865</v>
      </c>
      <c r="D253" s="17" t="s">
        <v>283</v>
      </c>
      <c r="E253" s="17" t="s">
        <v>289</v>
      </c>
      <c r="F253" s="17" t="s">
        <v>1113</v>
      </c>
      <c r="G253" s="17" t="s">
        <v>252</v>
      </c>
      <c r="H253" s="17" t="s">
        <v>260</v>
      </c>
      <c r="I253" s="17" t="s">
        <v>244</v>
      </c>
      <c r="J253" s="17" t="s">
        <v>414</v>
      </c>
    </row>
    <row r="254" spans="1:10" x14ac:dyDescent="0.25">
      <c r="A254" s="17" t="s">
        <v>1114</v>
      </c>
      <c r="B254" s="17" t="s">
        <v>1115</v>
      </c>
      <c r="C254" s="17" t="s">
        <v>95</v>
      </c>
      <c r="D254" s="17" t="s">
        <v>272</v>
      </c>
      <c r="E254" s="17" t="s">
        <v>240</v>
      </c>
      <c r="F254" s="17" t="s">
        <v>1116</v>
      </c>
      <c r="G254" s="17" t="s">
        <v>252</v>
      </c>
      <c r="H254" s="17" t="s">
        <v>253</v>
      </c>
      <c r="I254" s="17" t="s">
        <v>244</v>
      </c>
      <c r="J254" s="17" t="s">
        <v>1117</v>
      </c>
    </row>
    <row r="255" spans="1:10" x14ac:dyDescent="0.25">
      <c r="A255" s="17" t="s">
        <v>1118</v>
      </c>
      <c r="B255" s="17" t="s">
        <v>1119</v>
      </c>
      <c r="C255" s="17" t="s">
        <v>78</v>
      </c>
      <c r="D255" s="17" t="s">
        <v>283</v>
      </c>
      <c r="E255" s="17" t="s">
        <v>240</v>
      </c>
      <c r="F255" s="17" t="s">
        <v>1120</v>
      </c>
      <c r="G255" s="17" t="s">
        <v>242</v>
      </c>
      <c r="H255" s="17" t="s">
        <v>266</v>
      </c>
      <c r="I255" s="17" t="s">
        <v>267</v>
      </c>
      <c r="J255" s="17" t="s">
        <v>343</v>
      </c>
    </row>
    <row r="256" spans="1:10" x14ac:dyDescent="0.25">
      <c r="A256" s="17" t="s">
        <v>1121</v>
      </c>
      <c r="B256" s="17" t="s">
        <v>1122</v>
      </c>
      <c r="C256" s="17" t="s">
        <v>95</v>
      </c>
      <c r="D256" s="17" t="s">
        <v>272</v>
      </c>
      <c r="E256" s="17" t="s">
        <v>240</v>
      </c>
      <c r="F256" s="17" t="s">
        <v>1123</v>
      </c>
      <c r="G256" s="17" t="s">
        <v>252</v>
      </c>
      <c r="H256" s="17" t="s">
        <v>266</v>
      </c>
      <c r="I256" s="17" t="s">
        <v>267</v>
      </c>
      <c r="J256" s="17" t="s">
        <v>541</v>
      </c>
    </row>
    <row r="257" spans="1:10" x14ac:dyDescent="0.25">
      <c r="A257" s="17" t="s">
        <v>1124</v>
      </c>
      <c r="B257" s="17" t="s">
        <v>1125</v>
      </c>
      <c r="C257" s="17" t="s">
        <v>865</v>
      </c>
      <c r="D257" s="17" t="s">
        <v>283</v>
      </c>
      <c r="E257" s="17" t="s">
        <v>240</v>
      </c>
      <c r="F257" s="17" t="s">
        <v>1126</v>
      </c>
      <c r="G257" s="17" t="s">
        <v>252</v>
      </c>
      <c r="H257" s="17" t="s">
        <v>253</v>
      </c>
      <c r="I257" s="17" t="s">
        <v>244</v>
      </c>
      <c r="J257" s="17" t="s">
        <v>1127</v>
      </c>
    </row>
    <row r="258" spans="1:10" x14ac:dyDescent="0.25">
      <c r="A258" s="17" t="s">
        <v>1128</v>
      </c>
      <c r="B258" s="17" t="s">
        <v>1129</v>
      </c>
      <c r="C258" s="17" t="s">
        <v>84</v>
      </c>
      <c r="D258" s="17" t="s">
        <v>327</v>
      </c>
      <c r="E258" s="17" t="s">
        <v>240</v>
      </c>
      <c r="F258" s="17" t="s">
        <v>1130</v>
      </c>
      <c r="G258" s="17" t="s">
        <v>252</v>
      </c>
      <c r="H258" s="17" t="s">
        <v>243</v>
      </c>
      <c r="I258" s="17" t="s">
        <v>244</v>
      </c>
      <c r="J258" s="17" t="s">
        <v>859</v>
      </c>
    </row>
    <row r="259" spans="1:10" x14ac:dyDescent="0.25">
      <c r="A259" s="17" t="s">
        <v>1131</v>
      </c>
      <c r="B259" s="17" t="s">
        <v>1122</v>
      </c>
      <c r="C259" s="17" t="s">
        <v>72</v>
      </c>
      <c r="D259" s="17" t="s">
        <v>258</v>
      </c>
      <c r="E259" s="17" t="s">
        <v>289</v>
      </c>
      <c r="F259" s="17" t="s">
        <v>1132</v>
      </c>
      <c r="G259" s="17" t="s">
        <v>252</v>
      </c>
      <c r="H259" s="17" t="s">
        <v>266</v>
      </c>
      <c r="I259" s="17" t="s">
        <v>267</v>
      </c>
      <c r="J259" s="17" t="s">
        <v>1133</v>
      </c>
    </row>
    <row r="260" spans="1:10" x14ac:dyDescent="0.25">
      <c r="A260" s="17" t="s">
        <v>1109</v>
      </c>
      <c r="B260" s="17" t="s">
        <v>1119</v>
      </c>
      <c r="C260" s="17" t="s">
        <v>119</v>
      </c>
      <c r="D260" s="17" t="s">
        <v>272</v>
      </c>
      <c r="E260" s="17" t="s">
        <v>240</v>
      </c>
      <c r="F260" s="17" t="s">
        <v>1110</v>
      </c>
      <c r="G260" s="17" t="s">
        <v>252</v>
      </c>
      <c r="H260" s="17" t="s">
        <v>243</v>
      </c>
      <c r="I260" s="17" t="s">
        <v>244</v>
      </c>
      <c r="J260" s="17" t="s">
        <v>1111</v>
      </c>
    </row>
    <row r="261" spans="1:10" x14ac:dyDescent="0.25">
      <c r="A261" s="17" t="s">
        <v>1134</v>
      </c>
      <c r="B261" s="17" t="s">
        <v>1135</v>
      </c>
      <c r="C261" s="17" t="s">
        <v>72</v>
      </c>
      <c r="D261" s="17" t="s">
        <v>258</v>
      </c>
      <c r="E261" s="17" t="s">
        <v>240</v>
      </c>
      <c r="F261" s="17" t="s">
        <v>1136</v>
      </c>
      <c r="G261" s="17" t="s">
        <v>252</v>
      </c>
      <c r="H261" s="17" t="s">
        <v>260</v>
      </c>
      <c r="I261" s="17" t="s">
        <v>244</v>
      </c>
      <c r="J261" s="17" t="s">
        <v>781</v>
      </c>
    </row>
    <row r="262" spans="1:10" x14ac:dyDescent="0.25">
      <c r="A262" s="17" t="s">
        <v>1137</v>
      </c>
      <c r="B262" s="17" t="s">
        <v>1138</v>
      </c>
      <c r="C262" s="17" t="s">
        <v>947</v>
      </c>
      <c r="D262" s="17" t="s">
        <v>283</v>
      </c>
      <c r="E262" s="17" t="s">
        <v>240</v>
      </c>
      <c r="F262" s="17" t="s">
        <v>1139</v>
      </c>
      <c r="G262" s="17" t="s">
        <v>252</v>
      </c>
      <c r="H262" s="17" t="s">
        <v>253</v>
      </c>
      <c r="I262" s="17" t="s">
        <v>244</v>
      </c>
      <c r="J262" s="17" t="s">
        <v>576</v>
      </c>
    </row>
    <row r="263" spans="1:10" x14ac:dyDescent="0.25">
      <c r="A263" s="17" t="s">
        <v>1140</v>
      </c>
      <c r="B263" s="17" t="s">
        <v>1141</v>
      </c>
      <c r="C263" s="17" t="s">
        <v>123</v>
      </c>
      <c r="D263" s="17" t="s">
        <v>283</v>
      </c>
      <c r="E263" s="17" t="s">
        <v>289</v>
      </c>
      <c r="F263" s="17" t="s">
        <v>1142</v>
      </c>
      <c r="G263" s="17" t="s">
        <v>252</v>
      </c>
      <c r="H263" s="17" t="s">
        <v>253</v>
      </c>
      <c r="I263" s="17" t="s">
        <v>244</v>
      </c>
      <c r="J263" s="17" t="s">
        <v>1143</v>
      </c>
    </row>
    <row r="264" spans="1:10" x14ac:dyDescent="0.25">
      <c r="A264" s="17" t="s">
        <v>1144</v>
      </c>
      <c r="B264" s="17" t="s">
        <v>1135</v>
      </c>
      <c r="C264" s="17" t="s">
        <v>101</v>
      </c>
      <c r="D264" s="17" t="s">
        <v>283</v>
      </c>
      <c r="E264" s="17" t="s">
        <v>289</v>
      </c>
      <c r="F264" s="17" t="s">
        <v>1145</v>
      </c>
      <c r="G264" s="17" t="s">
        <v>252</v>
      </c>
      <c r="H264" s="17" t="s">
        <v>243</v>
      </c>
      <c r="I264" s="17" t="s">
        <v>244</v>
      </c>
      <c r="J264" s="17" t="s">
        <v>584</v>
      </c>
    </row>
    <row r="265" spans="1:10" x14ac:dyDescent="0.25">
      <c r="A265" s="17" t="s">
        <v>1146</v>
      </c>
      <c r="B265" s="17" t="s">
        <v>1138</v>
      </c>
      <c r="C265" s="17" t="s">
        <v>125</v>
      </c>
      <c r="D265" s="17" t="s">
        <v>327</v>
      </c>
      <c r="E265" s="17" t="s">
        <v>289</v>
      </c>
      <c r="F265" s="17" t="s">
        <v>1147</v>
      </c>
      <c r="G265" s="17" t="s">
        <v>242</v>
      </c>
      <c r="H265" s="17" t="s">
        <v>266</v>
      </c>
      <c r="I265" s="17" t="s">
        <v>267</v>
      </c>
      <c r="J265" s="17" t="s">
        <v>1148</v>
      </c>
    </row>
    <row r="266" spans="1:10" x14ac:dyDescent="0.25">
      <c r="A266" s="17" t="s">
        <v>1149</v>
      </c>
      <c r="B266" s="17" t="s">
        <v>1150</v>
      </c>
      <c r="C266" s="17" t="s">
        <v>947</v>
      </c>
      <c r="D266" s="17" t="s">
        <v>283</v>
      </c>
      <c r="E266" s="17" t="s">
        <v>289</v>
      </c>
      <c r="F266" s="17" t="s">
        <v>1151</v>
      </c>
      <c r="G266" s="17" t="s">
        <v>252</v>
      </c>
      <c r="H266" s="17" t="s">
        <v>243</v>
      </c>
      <c r="I266" s="17" t="s">
        <v>244</v>
      </c>
      <c r="J266" s="17" t="s">
        <v>1152</v>
      </c>
    </row>
    <row r="267" spans="1:10" x14ac:dyDescent="0.25">
      <c r="A267" s="17" t="s">
        <v>1153</v>
      </c>
      <c r="B267" s="17" t="s">
        <v>1154</v>
      </c>
      <c r="C267" s="17" t="s">
        <v>133</v>
      </c>
      <c r="D267" s="17" t="s">
        <v>283</v>
      </c>
      <c r="E267" s="17" t="s">
        <v>240</v>
      </c>
      <c r="F267" s="17" t="s">
        <v>1155</v>
      </c>
      <c r="G267" s="17" t="s">
        <v>252</v>
      </c>
      <c r="H267" s="17" t="s">
        <v>266</v>
      </c>
      <c r="I267" s="17" t="s">
        <v>267</v>
      </c>
      <c r="J267" s="17" t="s">
        <v>764</v>
      </c>
    </row>
    <row r="268" spans="1:10" x14ac:dyDescent="0.25">
      <c r="A268" s="17" t="s">
        <v>1156</v>
      </c>
      <c r="B268" s="17" t="s">
        <v>1157</v>
      </c>
      <c r="C268" s="17" t="s">
        <v>129</v>
      </c>
      <c r="D268" s="17"/>
      <c r="E268" s="17" t="s">
        <v>289</v>
      </c>
      <c r="F268" s="17" t="s">
        <v>1158</v>
      </c>
      <c r="G268" s="17" t="s">
        <v>252</v>
      </c>
      <c r="H268" s="17" t="s">
        <v>243</v>
      </c>
      <c r="I268" s="17" t="s">
        <v>244</v>
      </c>
      <c r="J268" s="17" t="s">
        <v>554</v>
      </c>
    </row>
    <row r="269" spans="1:10" x14ac:dyDescent="0.25">
      <c r="A269" s="17" t="s">
        <v>1159</v>
      </c>
      <c r="B269" s="17" t="s">
        <v>1160</v>
      </c>
      <c r="C269" s="17" t="s">
        <v>91</v>
      </c>
      <c r="D269" s="17" t="s">
        <v>250</v>
      </c>
      <c r="E269" s="17" t="s">
        <v>240</v>
      </c>
      <c r="F269" s="17" t="s">
        <v>1161</v>
      </c>
      <c r="G269" s="17" t="s">
        <v>252</v>
      </c>
      <c r="H269" s="17" t="s">
        <v>243</v>
      </c>
      <c r="I269" s="17" t="s">
        <v>244</v>
      </c>
      <c r="J269" s="17" t="s">
        <v>470</v>
      </c>
    </row>
    <row r="270" spans="1:10" x14ac:dyDescent="0.25">
      <c r="A270" s="17" t="s">
        <v>1162</v>
      </c>
      <c r="B270" s="17" t="s">
        <v>1163</v>
      </c>
      <c r="C270" s="17" t="s">
        <v>430</v>
      </c>
      <c r="D270" s="17" t="s">
        <v>258</v>
      </c>
      <c r="E270" s="17" t="s">
        <v>289</v>
      </c>
      <c r="F270" s="17" t="s">
        <v>1164</v>
      </c>
      <c r="G270" s="17" t="s">
        <v>252</v>
      </c>
      <c r="H270" s="17" t="s">
        <v>253</v>
      </c>
      <c r="I270" s="17" t="s">
        <v>244</v>
      </c>
      <c r="J270" s="17" t="s">
        <v>493</v>
      </c>
    </row>
    <row r="271" spans="1:10" x14ac:dyDescent="0.25">
      <c r="A271" s="17" t="s">
        <v>1165</v>
      </c>
      <c r="B271" s="17" t="s">
        <v>1166</v>
      </c>
      <c r="C271" s="17" t="s">
        <v>113</v>
      </c>
      <c r="D271" s="17" t="s">
        <v>283</v>
      </c>
      <c r="E271" s="17" t="s">
        <v>289</v>
      </c>
      <c r="F271" s="17" t="s">
        <v>1167</v>
      </c>
      <c r="G271" s="17" t="s">
        <v>252</v>
      </c>
      <c r="H271" s="17" t="s">
        <v>243</v>
      </c>
      <c r="I271" s="17" t="s">
        <v>244</v>
      </c>
      <c r="J271" s="17" t="s">
        <v>1168</v>
      </c>
    </row>
    <row r="272" spans="1:10" x14ac:dyDescent="0.25">
      <c r="A272" s="17" t="s">
        <v>1169</v>
      </c>
      <c r="B272" s="17" t="s">
        <v>1160</v>
      </c>
      <c r="C272" s="17" t="s">
        <v>115</v>
      </c>
      <c r="D272" s="17" t="s">
        <v>327</v>
      </c>
      <c r="E272" s="17" t="s">
        <v>289</v>
      </c>
      <c r="F272" s="17" t="s">
        <v>1170</v>
      </c>
      <c r="G272" s="17" t="s">
        <v>252</v>
      </c>
      <c r="H272" s="17" t="s">
        <v>260</v>
      </c>
      <c r="I272" s="17" t="s">
        <v>244</v>
      </c>
      <c r="J272" s="17" t="s">
        <v>1171</v>
      </c>
    </row>
    <row r="273" spans="1:10" x14ac:dyDescent="0.25">
      <c r="A273" s="17" t="s">
        <v>1172</v>
      </c>
      <c r="B273" s="17" t="s">
        <v>1163</v>
      </c>
      <c r="C273" s="17" t="s">
        <v>133</v>
      </c>
      <c r="D273" s="17" t="s">
        <v>283</v>
      </c>
      <c r="E273" s="17" t="s">
        <v>240</v>
      </c>
      <c r="F273" s="17" t="s">
        <v>1173</v>
      </c>
      <c r="G273" s="17" t="s">
        <v>252</v>
      </c>
      <c r="H273" s="17" t="s">
        <v>260</v>
      </c>
      <c r="I273" s="17" t="s">
        <v>244</v>
      </c>
      <c r="J273" s="17" t="s">
        <v>1174</v>
      </c>
    </row>
    <row r="274" spans="1:10" x14ac:dyDescent="0.25">
      <c r="A274" s="17" t="s">
        <v>1175</v>
      </c>
      <c r="B274" s="17" t="s">
        <v>1176</v>
      </c>
      <c r="C274" s="17" t="s">
        <v>1026</v>
      </c>
      <c r="D274" s="17" t="s">
        <v>272</v>
      </c>
      <c r="E274" s="17" t="s">
        <v>240</v>
      </c>
      <c r="F274" s="17" t="s">
        <v>1177</v>
      </c>
      <c r="G274" s="17" t="s">
        <v>242</v>
      </c>
      <c r="H274" s="17" t="s">
        <v>266</v>
      </c>
      <c r="I274" s="17" t="s">
        <v>267</v>
      </c>
      <c r="J274" s="17" t="s">
        <v>302</v>
      </c>
    </row>
    <row r="275" spans="1:10" x14ac:dyDescent="0.25">
      <c r="A275" s="17" t="s">
        <v>1178</v>
      </c>
      <c r="B275" s="17" t="s">
        <v>1179</v>
      </c>
      <c r="C275" s="17" t="s">
        <v>133</v>
      </c>
      <c r="D275" s="17" t="s">
        <v>283</v>
      </c>
      <c r="E275" s="17" t="s">
        <v>240</v>
      </c>
      <c r="F275" s="17" t="s">
        <v>1180</v>
      </c>
      <c r="G275" s="17" t="s">
        <v>252</v>
      </c>
      <c r="H275" s="17" t="s">
        <v>243</v>
      </c>
      <c r="I275" s="17" t="s">
        <v>244</v>
      </c>
      <c r="J275" s="17" t="s">
        <v>419</v>
      </c>
    </row>
    <row r="276" spans="1:10" x14ac:dyDescent="0.25">
      <c r="A276" s="17" t="s">
        <v>1181</v>
      </c>
      <c r="B276" s="17" t="s">
        <v>1182</v>
      </c>
      <c r="C276" s="17" t="s">
        <v>117</v>
      </c>
      <c r="D276" s="17" t="s">
        <v>250</v>
      </c>
      <c r="E276" s="17" t="s">
        <v>240</v>
      </c>
      <c r="F276" s="17" t="s">
        <v>1183</v>
      </c>
      <c r="G276" s="17" t="s">
        <v>252</v>
      </c>
      <c r="H276" s="17" t="s">
        <v>253</v>
      </c>
      <c r="I276" s="17" t="s">
        <v>244</v>
      </c>
      <c r="J276" s="17" t="s">
        <v>737</v>
      </c>
    </row>
    <row r="277" spans="1:10" x14ac:dyDescent="0.25">
      <c r="A277" s="17" t="s">
        <v>1184</v>
      </c>
      <c r="B277" s="17" t="s">
        <v>1185</v>
      </c>
      <c r="C277" s="17" t="s">
        <v>125</v>
      </c>
      <c r="D277" s="17" t="s">
        <v>327</v>
      </c>
      <c r="E277" s="17" t="s">
        <v>240</v>
      </c>
      <c r="F277" s="17" t="s">
        <v>1186</v>
      </c>
      <c r="G277" s="17" t="s">
        <v>252</v>
      </c>
      <c r="H277" s="17" t="s">
        <v>243</v>
      </c>
      <c r="I277" s="17" t="s">
        <v>244</v>
      </c>
      <c r="J277" s="17" t="s">
        <v>1187</v>
      </c>
    </row>
    <row r="278" spans="1:10" x14ac:dyDescent="0.25">
      <c r="A278" s="17" t="s">
        <v>1188</v>
      </c>
      <c r="B278" s="17" t="s">
        <v>1189</v>
      </c>
      <c r="C278" s="17" t="s">
        <v>932</v>
      </c>
      <c r="D278" s="17" t="s">
        <v>258</v>
      </c>
      <c r="E278" s="17" t="s">
        <v>240</v>
      </c>
      <c r="F278" s="17" t="s">
        <v>1190</v>
      </c>
      <c r="G278" s="17" t="s">
        <v>252</v>
      </c>
      <c r="H278" s="17" t="s">
        <v>253</v>
      </c>
      <c r="I278" s="17" t="s">
        <v>244</v>
      </c>
      <c r="J278" s="17" t="s">
        <v>1191</v>
      </c>
    </row>
    <row r="279" spans="1:10" x14ac:dyDescent="0.25">
      <c r="A279" s="17" t="s">
        <v>1192</v>
      </c>
      <c r="B279" s="17" t="s">
        <v>1193</v>
      </c>
      <c r="C279" s="17" t="s">
        <v>111</v>
      </c>
      <c r="D279" s="17" t="s">
        <v>258</v>
      </c>
      <c r="E279" s="17" t="s">
        <v>240</v>
      </c>
      <c r="F279" s="17" t="s">
        <v>1194</v>
      </c>
      <c r="G279" s="17" t="s">
        <v>252</v>
      </c>
      <c r="H279" s="17" t="s">
        <v>253</v>
      </c>
      <c r="I279" s="17" t="s">
        <v>244</v>
      </c>
      <c r="J279" s="17" t="s">
        <v>1195</v>
      </c>
    </row>
    <row r="280" spans="1:10" x14ac:dyDescent="0.25">
      <c r="A280" s="17" t="s">
        <v>1196</v>
      </c>
      <c r="B280" s="17" t="s">
        <v>1197</v>
      </c>
      <c r="C280" s="17" t="s">
        <v>113</v>
      </c>
      <c r="D280" s="17" t="s">
        <v>283</v>
      </c>
      <c r="E280" s="17" t="s">
        <v>289</v>
      </c>
      <c r="F280" s="17" t="s">
        <v>1198</v>
      </c>
      <c r="G280" s="17" t="s">
        <v>252</v>
      </c>
      <c r="H280" s="17" t="s">
        <v>266</v>
      </c>
      <c r="I280" s="17" t="s">
        <v>267</v>
      </c>
      <c r="J280" s="17" t="s">
        <v>343</v>
      </c>
    </row>
    <row r="281" spans="1:10" x14ac:dyDescent="0.25">
      <c r="A281" s="17" t="s">
        <v>1199</v>
      </c>
      <c r="B281" s="17" t="s">
        <v>1200</v>
      </c>
      <c r="C281" s="17" t="s">
        <v>147</v>
      </c>
      <c r="D281" s="17" t="s">
        <v>272</v>
      </c>
      <c r="E281" s="17" t="s">
        <v>240</v>
      </c>
      <c r="F281" s="17" t="s">
        <v>1201</v>
      </c>
      <c r="G281" s="17" t="s">
        <v>252</v>
      </c>
      <c r="H281" s="17" t="s">
        <v>266</v>
      </c>
      <c r="I281" s="17" t="s">
        <v>267</v>
      </c>
      <c r="J281" s="17" t="s">
        <v>541</v>
      </c>
    </row>
    <row r="282" spans="1:10" x14ac:dyDescent="0.25">
      <c r="A282" s="17" t="s">
        <v>1202</v>
      </c>
      <c r="B282" s="17" t="s">
        <v>1203</v>
      </c>
      <c r="C282" s="17" t="s">
        <v>932</v>
      </c>
      <c r="D282" s="17" t="s">
        <v>258</v>
      </c>
      <c r="E282" s="17" t="s">
        <v>289</v>
      </c>
      <c r="F282" s="17" t="s">
        <v>1204</v>
      </c>
      <c r="G282" s="17" t="s">
        <v>252</v>
      </c>
      <c r="H282" s="17" t="s">
        <v>243</v>
      </c>
      <c r="I282" s="17" t="s">
        <v>244</v>
      </c>
      <c r="J282" s="17" t="s">
        <v>675</v>
      </c>
    </row>
    <row r="283" spans="1:10" x14ac:dyDescent="0.25">
      <c r="A283" s="17" t="s">
        <v>1184</v>
      </c>
      <c r="B283" s="17" t="s">
        <v>1185</v>
      </c>
      <c r="C283" s="17" t="s">
        <v>125</v>
      </c>
      <c r="D283" s="17" t="s">
        <v>327</v>
      </c>
      <c r="E283" s="17" t="s">
        <v>240</v>
      </c>
      <c r="F283" s="17" t="s">
        <v>1186</v>
      </c>
      <c r="G283" s="17" t="s">
        <v>252</v>
      </c>
      <c r="H283" s="17" t="s">
        <v>243</v>
      </c>
      <c r="I283" s="17" t="s">
        <v>244</v>
      </c>
      <c r="J283" s="17" t="s">
        <v>1187</v>
      </c>
    </row>
    <row r="284" spans="1:10" x14ac:dyDescent="0.25">
      <c r="A284" s="17" t="s">
        <v>1205</v>
      </c>
      <c r="B284" s="17" t="s">
        <v>1206</v>
      </c>
      <c r="C284" s="17" t="s">
        <v>135</v>
      </c>
      <c r="D284" s="17" t="s">
        <v>327</v>
      </c>
      <c r="E284" s="17" t="s">
        <v>289</v>
      </c>
      <c r="F284" s="17" t="s">
        <v>1207</v>
      </c>
      <c r="G284" s="17" t="s">
        <v>242</v>
      </c>
      <c r="H284" s="17" t="s">
        <v>253</v>
      </c>
      <c r="I284" s="17" t="s">
        <v>244</v>
      </c>
      <c r="J284" s="17" t="s">
        <v>1208</v>
      </c>
    </row>
    <row r="285" spans="1:10" x14ac:dyDescent="0.25">
      <c r="A285" s="17" t="s">
        <v>1209</v>
      </c>
      <c r="B285" s="17" t="s">
        <v>1210</v>
      </c>
      <c r="C285" s="17" t="s">
        <v>117</v>
      </c>
      <c r="D285" s="17" t="s">
        <v>250</v>
      </c>
      <c r="E285" s="17" t="s">
        <v>289</v>
      </c>
      <c r="F285" s="17" t="s">
        <v>1211</v>
      </c>
      <c r="G285" s="17" t="s">
        <v>252</v>
      </c>
      <c r="H285" s="17" t="s">
        <v>266</v>
      </c>
      <c r="I285" s="17" t="s">
        <v>267</v>
      </c>
      <c r="J285" s="17" t="s">
        <v>268</v>
      </c>
    </row>
    <row r="286" spans="1:10" x14ac:dyDescent="0.25">
      <c r="A286" s="17" t="s">
        <v>1212</v>
      </c>
      <c r="B286" s="17" t="s">
        <v>1213</v>
      </c>
      <c r="C286" s="17" t="s">
        <v>59</v>
      </c>
      <c r="D286" s="17"/>
      <c r="E286" s="17" t="s">
        <v>289</v>
      </c>
      <c r="F286" s="17" t="s">
        <v>1214</v>
      </c>
      <c r="G286" s="17" t="s">
        <v>252</v>
      </c>
      <c r="H286" s="17" t="s">
        <v>260</v>
      </c>
      <c r="I286" s="17" t="s">
        <v>244</v>
      </c>
      <c r="J286" s="17" t="s">
        <v>726</v>
      </c>
    </row>
    <row r="287" spans="1:10" x14ac:dyDescent="0.25">
      <c r="A287" s="17" t="s">
        <v>1215</v>
      </c>
      <c r="B287" s="17" t="s">
        <v>1216</v>
      </c>
      <c r="C287" s="17" t="s">
        <v>865</v>
      </c>
      <c r="D287" s="17" t="s">
        <v>283</v>
      </c>
      <c r="E287" s="17" t="s">
        <v>240</v>
      </c>
      <c r="F287" s="17" t="s">
        <v>1217</v>
      </c>
      <c r="G287" s="17" t="s">
        <v>252</v>
      </c>
      <c r="H287" s="17" t="s">
        <v>266</v>
      </c>
      <c r="I287" s="17" t="s">
        <v>267</v>
      </c>
      <c r="J287" s="17" t="s">
        <v>1218</v>
      </c>
    </row>
    <row r="288" spans="1:10" x14ac:dyDescent="0.25">
      <c r="A288" s="17" t="s">
        <v>1219</v>
      </c>
      <c r="B288" s="17" t="s">
        <v>1220</v>
      </c>
      <c r="C288" s="17" t="s">
        <v>101</v>
      </c>
      <c r="D288" s="17" t="s">
        <v>283</v>
      </c>
      <c r="E288" s="17" t="s">
        <v>240</v>
      </c>
      <c r="F288" s="17" t="s">
        <v>1221</v>
      </c>
      <c r="G288" s="17" t="s">
        <v>252</v>
      </c>
      <c r="H288" s="17" t="s">
        <v>253</v>
      </c>
      <c r="I288" s="17" t="s">
        <v>244</v>
      </c>
      <c r="J288" s="17" t="s">
        <v>1068</v>
      </c>
    </row>
    <row r="289" spans="1:10" x14ac:dyDescent="0.25">
      <c r="A289" s="17" t="s">
        <v>1222</v>
      </c>
      <c r="B289" s="17" t="s">
        <v>1223</v>
      </c>
      <c r="C289" s="17" t="s">
        <v>147</v>
      </c>
      <c r="D289" s="17" t="s">
        <v>272</v>
      </c>
      <c r="E289" s="17" t="s">
        <v>240</v>
      </c>
      <c r="F289" s="17" t="s">
        <v>1224</v>
      </c>
      <c r="G289" s="17" t="s">
        <v>252</v>
      </c>
      <c r="H289" s="17" t="s">
        <v>260</v>
      </c>
      <c r="I289" s="17" t="s">
        <v>244</v>
      </c>
      <c r="J289" s="17" t="s">
        <v>1225</v>
      </c>
    </row>
    <row r="290" spans="1:10" x14ac:dyDescent="0.25">
      <c r="A290" s="17" t="s">
        <v>1226</v>
      </c>
      <c r="B290" s="17" t="s">
        <v>1227</v>
      </c>
      <c r="C290" s="17" t="s">
        <v>119</v>
      </c>
      <c r="D290" s="17" t="s">
        <v>272</v>
      </c>
      <c r="E290" s="17" t="s">
        <v>240</v>
      </c>
      <c r="F290" s="17" t="s">
        <v>1228</v>
      </c>
      <c r="G290" s="17" t="s">
        <v>252</v>
      </c>
      <c r="H290" s="17" t="s">
        <v>243</v>
      </c>
      <c r="I290" s="17" t="s">
        <v>244</v>
      </c>
      <c r="J290" s="17" t="s">
        <v>1229</v>
      </c>
    </row>
    <row r="291" spans="1:10" x14ac:dyDescent="0.25">
      <c r="A291" s="17" t="s">
        <v>1230</v>
      </c>
      <c r="B291" s="17" t="s">
        <v>1231</v>
      </c>
      <c r="C291" s="17" t="s">
        <v>363</v>
      </c>
      <c r="D291" s="17" t="s">
        <v>250</v>
      </c>
      <c r="E291" s="17" t="s">
        <v>240</v>
      </c>
      <c r="F291" s="17" t="s">
        <v>1232</v>
      </c>
      <c r="G291" s="17" t="s">
        <v>252</v>
      </c>
      <c r="H291" s="17" t="s">
        <v>243</v>
      </c>
      <c r="I291" s="17" t="s">
        <v>244</v>
      </c>
      <c r="J291" s="17" t="s">
        <v>533</v>
      </c>
    </row>
    <row r="292" spans="1:10" x14ac:dyDescent="0.25">
      <c r="A292" s="17" t="s">
        <v>1233</v>
      </c>
      <c r="B292" s="17" t="s">
        <v>1234</v>
      </c>
      <c r="C292" s="17" t="s">
        <v>127</v>
      </c>
      <c r="D292" s="17" t="s">
        <v>250</v>
      </c>
      <c r="E292" s="17" t="s">
        <v>289</v>
      </c>
      <c r="F292" s="17" t="s">
        <v>1235</v>
      </c>
      <c r="G292" s="17" t="s">
        <v>252</v>
      </c>
      <c r="H292" s="17" t="s">
        <v>253</v>
      </c>
      <c r="I292" s="17" t="s">
        <v>244</v>
      </c>
      <c r="J292" s="17" t="s">
        <v>806</v>
      </c>
    </row>
    <row r="293" spans="1:10" x14ac:dyDescent="0.25">
      <c r="A293" s="17" t="s">
        <v>1236</v>
      </c>
      <c r="B293" s="17" t="s">
        <v>1237</v>
      </c>
      <c r="C293" s="17" t="s">
        <v>59</v>
      </c>
      <c r="D293" s="17" t="s">
        <v>250</v>
      </c>
      <c r="E293" s="17" t="s">
        <v>289</v>
      </c>
      <c r="F293" s="17" t="s">
        <v>1238</v>
      </c>
      <c r="G293" s="17" t="s">
        <v>242</v>
      </c>
      <c r="H293" s="17" t="s">
        <v>243</v>
      </c>
      <c r="I293" s="17" t="s">
        <v>244</v>
      </c>
      <c r="J293" s="17" t="s">
        <v>470</v>
      </c>
    </row>
    <row r="294" spans="1:10" x14ac:dyDescent="0.25">
      <c r="A294" s="17" t="s">
        <v>1239</v>
      </c>
      <c r="B294" s="17" t="s">
        <v>1240</v>
      </c>
      <c r="C294" s="17" t="s">
        <v>101</v>
      </c>
      <c r="D294" s="17" t="s">
        <v>283</v>
      </c>
      <c r="E294" s="17" t="s">
        <v>240</v>
      </c>
      <c r="F294" s="17" t="s">
        <v>1241</v>
      </c>
      <c r="G294" s="17" t="s">
        <v>252</v>
      </c>
      <c r="H294" s="17" t="s">
        <v>253</v>
      </c>
      <c r="I294" s="17" t="s">
        <v>244</v>
      </c>
      <c r="J294" s="17" t="s">
        <v>1242</v>
      </c>
    </row>
    <row r="295" spans="1:10" x14ac:dyDescent="0.25">
      <c r="A295" s="17" t="s">
        <v>1243</v>
      </c>
      <c r="B295" s="17" t="s">
        <v>1244</v>
      </c>
      <c r="C295" s="17" t="s">
        <v>300</v>
      </c>
      <c r="D295" s="17" t="s">
        <v>272</v>
      </c>
      <c r="E295" s="17" t="s">
        <v>289</v>
      </c>
      <c r="F295" s="17" t="s">
        <v>1245</v>
      </c>
      <c r="G295" s="17" t="s">
        <v>252</v>
      </c>
      <c r="H295" s="17" t="s">
        <v>260</v>
      </c>
      <c r="I295" s="17" t="s">
        <v>244</v>
      </c>
      <c r="J295" s="17" t="s">
        <v>609</v>
      </c>
    </row>
    <row r="296" spans="1:10" x14ac:dyDescent="0.25">
      <c r="A296" s="17" t="s">
        <v>1246</v>
      </c>
      <c r="B296" s="17" t="s">
        <v>1237</v>
      </c>
      <c r="C296" s="17" t="s">
        <v>115</v>
      </c>
      <c r="D296" s="17" t="s">
        <v>327</v>
      </c>
      <c r="E296" s="17" t="s">
        <v>289</v>
      </c>
      <c r="F296" s="17" t="s">
        <v>1247</v>
      </c>
      <c r="G296" s="17" t="s">
        <v>252</v>
      </c>
      <c r="H296" s="17" t="s">
        <v>266</v>
      </c>
      <c r="I296" s="17" t="s">
        <v>267</v>
      </c>
      <c r="J296" s="17" t="s">
        <v>340</v>
      </c>
    </row>
    <row r="297" spans="1:10" x14ac:dyDescent="0.25">
      <c r="A297" s="17" t="s">
        <v>1248</v>
      </c>
      <c r="B297" s="17" t="s">
        <v>1240</v>
      </c>
      <c r="C297" s="17" t="s">
        <v>107</v>
      </c>
      <c r="D297" s="17" t="s">
        <v>250</v>
      </c>
      <c r="E297" s="17" t="s">
        <v>240</v>
      </c>
      <c r="F297" s="17" t="s">
        <v>1249</v>
      </c>
      <c r="G297" s="17" t="s">
        <v>252</v>
      </c>
      <c r="H297" s="17" t="s">
        <v>260</v>
      </c>
      <c r="I297" s="17" t="s">
        <v>244</v>
      </c>
      <c r="J297" s="17" t="s">
        <v>726</v>
      </c>
    </row>
    <row r="298" spans="1:10" x14ac:dyDescent="0.25">
      <c r="A298" s="17" t="s">
        <v>1250</v>
      </c>
      <c r="B298" s="17" t="s">
        <v>1244</v>
      </c>
      <c r="C298" s="17" t="s">
        <v>119</v>
      </c>
      <c r="D298" s="17" t="s">
        <v>272</v>
      </c>
      <c r="E298" s="17" t="s">
        <v>240</v>
      </c>
      <c r="F298" s="17" t="s">
        <v>1251</v>
      </c>
      <c r="G298" s="17" t="s">
        <v>252</v>
      </c>
      <c r="H298" s="17" t="s">
        <v>253</v>
      </c>
      <c r="I298" s="17" t="s">
        <v>244</v>
      </c>
      <c r="J298" s="17" t="s">
        <v>358</v>
      </c>
    </row>
    <row r="299" spans="1:10" x14ac:dyDescent="0.25">
      <c r="A299" s="17" t="s">
        <v>1252</v>
      </c>
      <c r="B299" s="17" t="s">
        <v>1237</v>
      </c>
      <c r="C299" s="17" t="s">
        <v>648</v>
      </c>
      <c r="D299" s="17" t="s">
        <v>327</v>
      </c>
      <c r="E299" s="17" t="s">
        <v>240</v>
      </c>
      <c r="F299" s="17" t="s">
        <v>1253</v>
      </c>
      <c r="G299" s="17" t="s">
        <v>252</v>
      </c>
      <c r="H299" s="17" t="s">
        <v>260</v>
      </c>
      <c r="I299" s="17" t="s">
        <v>244</v>
      </c>
      <c r="J299" s="17" t="s">
        <v>803</v>
      </c>
    </row>
    <row r="300" spans="1:10" x14ac:dyDescent="0.25">
      <c r="A300" s="17" t="s">
        <v>1254</v>
      </c>
      <c r="B300" s="17" t="s">
        <v>1255</v>
      </c>
      <c r="C300" s="17" t="s">
        <v>104</v>
      </c>
      <c r="D300" s="17" t="s">
        <v>327</v>
      </c>
      <c r="E300" s="17" t="s">
        <v>240</v>
      </c>
      <c r="F300" s="17" t="s">
        <v>1256</v>
      </c>
      <c r="G300" s="17" t="s">
        <v>252</v>
      </c>
      <c r="H300" s="17" t="s">
        <v>243</v>
      </c>
      <c r="I300" s="17" t="s">
        <v>244</v>
      </c>
      <c r="J300" s="17" t="s">
        <v>1257</v>
      </c>
    </row>
    <row r="301" spans="1:10" x14ac:dyDescent="0.25">
      <c r="A301" s="17" t="s">
        <v>1258</v>
      </c>
      <c r="B301" s="17" t="s">
        <v>1259</v>
      </c>
      <c r="C301" s="17" t="s">
        <v>104</v>
      </c>
      <c r="D301" s="17" t="s">
        <v>327</v>
      </c>
      <c r="E301" s="17" t="s">
        <v>289</v>
      </c>
      <c r="F301" s="17" t="s">
        <v>1260</v>
      </c>
      <c r="G301" s="17" t="s">
        <v>252</v>
      </c>
      <c r="H301" s="17" t="s">
        <v>253</v>
      </c>
      <c r="I301" s="17" t="s">
        <v>244</v>
      </c>
      <c r="J301" s="17" t="s">
        <v>996</v>
      </c>
    </row>
    <row r="302" spans="1:10" x14ac:dyDescent="0.25">
      <c r="A302" s="17" t="s">
        <v>1261</v>
      </c>
      <c r="B302" s="17" t="s">
        <v>1262</v>
      </c>
      <c r="C302" s="17" t="s">
        <v>135</v>
      </c>
      <c r="D302" s="17" t="s">
        <v>327</v>
      </c>
      <c r="E302" s="17" t="s">
        <v>240</v>
      </c>
      <c r="F302" s="17" t="s">
        <v>1263</v>
      </c>
      <c r="G302" s="17" t="s">
        <v>242</v>
      </c>
      <c r="H302" s="17" t="s">
        <v>253</v>
      </c>
      <c r="I302" s="17" t="s">
        <v>244</v>
      </c>
      <c r="J302" s="17" t="s">
        <v>1264</v>
      </c>
    </row>
    <row r="303" spans="1:10" x14ac:dyDescent="0.25">
      <c r="A303" s="17" t="s">
        <v>1265</v>
      </c>
      <c r="B303" s="17" t="s">
        <v>1266</v>
      </c>
      <c r="C303" s="17" t="s">
        <v>648</v>
      </c>
      <c r="D303" s="17"/>
      <c r="E303" s="17" t="s">
        <v>289</v>
      </c>
      <c r="F303" s="17" t="s">
        <v>1267</v>
      </c>
      <c r="G303" s="17" t="s">
        <v>252</v>
      </c>
      <c r="H303" s="17" t="s">
        <v>266</v>
      </c>
      <c r="I303" s="17" t="s">
        <v>267</v>
      </c>
      <c r="J303" s="17" t="s">
        <v>893</v>
      </c>
    </row>
    <row r="304" spans="1:10" x14ac:dyDescent="0.25">
      <c r="A304" s="17" t="s">
        <v>1268</v>
      </c>
      <c r="B304" s="17" t="s">
        <v>1269</v>
      </c>
      <c r="C304" s="17" t="s">
        <v>84</v>
      </c>
      <c r="D304" s="17" t="s">
        <v>327</v>
      </c>
      <c r="E304" s="17" t="s">
        <v>240</v>
      </c>
      <c r="F304" s="17" t="s">
        <v>1270</v>
      </c>
      <c r="G304" s="17" t="s">
        <v>252</v>
      </c>
      <c r="H304" s="17" t="s">
        <v>260</v>
      </c>
      <c r="I304" s="17" t="s">
        <v>244</v>
      </c>
      <c r="J304" s="17" t="s">
        <v>466</v>
      </c>
    </row>
    <row r="305" spans="1:10" x14ac:dyDescent="0.25">
      <c r="A305" s="17" t="s">
        <v>1271</v>
      </c>
      <c r="B305" s="17" t="s">
        <v>1272</v>
      </c>
      <c r="C305" s="17" t="s">
        <v>121</v>
      </c>
      <c r="D305" s="17" t="s">
        <v>258</v>
      </c>
      <c r="E305" s="17" t="s">
        <v>240</v>
      </c>
      <c r="F305" s="17" t="s">
        <v>1273</v>
      </c>
      <c r="G305" s="17" t="s">
        <v>252</v>
      </c>
      <c r="H305" s="17" t="s">
        <v>266</v>
      </c>
      <c r="I305" s="17" t="s">
        <v>267</v>
      </c>
      <c r="J305" s="17" t="s">
        <v>296</v>
      </c>
    </row>
    <row r="306" spans="1:10" x14ac:dyDescent="0.25">
      <c r="A306" s="17" t="s">
        <v>1274</v>
      </c>
      <c r="B306" s="17" t="s">
        <v>1275</v>
      </c>
      <c r="C306" s="17" t="s">
        <v>127</v>
      </c>
      <c r="D306" s="17" t="s">
        <v>250</v>
      </c>
      <c r="E306" s="17" t="s">
        <v>240</v>
      </c>
      <c r="F306" s="17" t="s">
        <v>1276</v>
      </c>
      <c r="G306" s="17" t="s">
        <v>252</v>
      </c>
      <c r="H306" s="17" t="s">
        <v>266</v>
      </c>
      <c r="I306" s="17" t="s">
        <v>267</v>
      </c>
      <c r="J306" s="17" t="s">
        <v>268</v>
      </c>
    </row>
    <row r="307" spans="1:10" x14ac:dyDescent="0.25">
      <c r="A307" s="17" t="s">
        <v>1277</v>
      </c>
      <c r="B307" s="17" t="s">
        <v>1278</v>
      </c>
      <c r="C307" s="17" t="s">
        <v>335</v>
      </c>
      <c r="D307" s="17" t="s">
        <v>250</v>
      </c>
      <c r="E307" s="17" t="s">
        <v>289</v>
      </c>
      <c r="F307" s="17" t="s">
        <v>1279</v>
      </c>
      <c r="G307" s="17" t="s">
        <v>252</v>
      </c>
      <c r="H307" s="17" t="s">
        <v>266</v>
      </c>
      <c r="I307" s="17" t="s">
        <v>267</v>
      </c>
      <c r="J307" s="17" t="s">
        <v>337</v>
      </c>
    </row>
    <row r="308" spans="1:10" x14ac:dyDescent="0.25">
      <c r="A308" s="17" t="s">
        <v>1280</v>
      </c>
      <c r="B308" s="17" t="s">
        <v>1281</v>
      </c>
      <c r="C308" s="17" t="s">
        <v>72</v>
      </c>
      <c r="D308" s="17" t="s">
        <v>258</v>
      </c>
      <c r="E308" s="17" t="s">
        <v>289</v>
      </c>
      <c r="F308" s="17" t="s">
        <v>1282</v>
      </c>
      <c r="G308" s="17" t="s">
        <v>252</v>
      </c>
      <c r="H308" s="17" t="s">
        <v>253</v>
      </c>
      <c r="I308" s="17" t="s">
        <v>244</v>
      </c>
      <c r="J308" s="17" t="s">
        <v>1283</v>
      </c>
    </row>
    <row r="309" spans="1:10" x14ac:dyDescent="0.25">
      <c r="A309" s="17" t="s">
        <v>1284</v>
      </c>
      <c r="B309" s="17" t="s">
        <v>1275</v>
      </c>
      <c r="C309" s="17" t="s">
        <v>113</v>
      </c>
      <c r="D309" s="17" t="s">
        <v>283</v>
      </c>
      <c r="E309" s="17" t="s">
        <v>240</v>
      </c>
      <c r="F309" s="17" t="s">
        <v>1285</v>
      </c>
      <c r="G309" s="17" t="s">
        <v>252</v>
      </c>
      <c r="H309" s="17" t="s">
        <v>243</v>
      </c>
      <c r="I309" s="17" t="s">
        <v>244</v>
      </c>
      <c r="J309" s="17" t="s">
        <v>1286</v>
      </c>
    </row>
    <row r="310" spans="1:10" x14ac:dyDescent="0.25">
      <c r="A310" s="17" t="s">
        <v>1287</v>
      </c>
      <c r="B310" s="17" t="s">
        <v>1278</v>
      </c>
      <c r="C310" s="17" t="s">
        <v>84</v>
      </c>
      <c r="D310" s="17" t="s">
        <v>327</v>
      </c>
      <c r="E310" s="17" t="s">
        <v>240</v>
      </c>
      <c r="F310" s="17" t="s">
        <v>1288</v>
      </c>
      <c r="G310" s="17" t="s">
        <v>252</v>
      </c>
      <c r="H310" s="17" t="s">
        <v>266</v>
      </c>
      <c r="I310" s="17" t="s">
        <v>267</v>
      </c>
      <c r="J310" s="17" t="s">
        <v>741</v>
      </c>
    </row>
    <row r="311" spans="1:10" x14ac:dyDescent="0.25">
      <c r="A311" s="17" t="s">
        <v>1289</v>
      </c>
      <c r="B311" s="17" t="s">
        <v>1290</v>
      </c>
      <c r="C311" s="17" t="s">
        <v>519</v>
      </c>
      <c r="D311" s="17" t="s">
        <v>258</v>
      </c>
      <c r="E311" s="17" t="s">
        <v>289</v>
      </c>
      <c r="F311" s="17" t="s">
        <v>1291</v>
      </c>
      <c r="G311" s="17" t="s">
        <v>242</v>
      </c>
      <c r="H311" s="17" t="s">
        <v>260</v>
      </c>
      <c r="I311" s="17" t="s">
        <v>244</v>
      </c>
      <c r="J311" s="17" t="s">
        <v>1292</v>
      </c>
    </row>
    <row r="312" spans="1:10" x14ac:dyDescent="0.25">
      <c r="A312" s="17" t="s">
        <v>1293</v>
      </c>
      <c r="B312" s="17" t="s">
        <v>1294</v>
      </c>
      <c r="C312" s="17" t="s">
        <v>135</v>
      </c>
      <c r="D312" s="17" t="s">
        <v>327</v>
      </c>
      <c r="E312" s="17" t="s">
        <v>240</v>
      </c>
      <c r="F312" s="17" t="s">
        <v>1295</v>
      </c>
      <c r="G312" s="17" t="s">
        <v>252</v>
      </c>
      <c r="H312" s="17" t="s">
        <v>266</v>
      </c>
      <c r="I312" s="17" t="s">
        <v>267</v>
      </c>
      <c r="J312" s="17" t="s">
        <v>1296</v>
      </c>
    </row>
    <row r="313" spans="1:10" x14ac:dyDescent="0.25">
      <c r="A313" s="17" t="s">
        <v>1297</v>
      </c>
      <c r="B313" s="17" t="s">
        <v>1298</v>
      </c>
      <c r="C313" s="17" t="s">
        <v>95</v>
      </c>
      <c r="D313" s="17" t="s">
        <v>272</v>
      </c>
      <c r="E313" s="17" t="s">
        <v>240</v>
      </c>
      <c r="F313" s="17" t="s">
        <v>1299</v>
      </c>
      <c r="G313" s="17" t="s">
        <v>252</v>
      </c>
      <c r="H313" s="17" t="s">
        <v>253</v>
      </c>
      <c r="I313" s="17" t="s">
        <v>244</v>
      </c>
      <c r="J313" s="17" t="s">
        <v>1300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0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12" customWidth="1"/>
    <col min="3" max="5" width="11" customWidth="1"/>
    <col min="6" max="6" width="13" customWidth="1"/>
    <col min="7" max="7" width="10" customWidth="1"/>
    <col min="8" max="8" width="16" customWidth="1"/>
    <col min="9" max="9" width="10" customWidth="1"/>
    <col min="10" max="10" width="26" customWidth="1"/>
    <col min="11" max="11" width="16" customWidth="1"/>
    <col min="12" max="12" width="24" customWidth="1"/>
    <col min="13" max="13" width="12" customWidth="1"/>
    <col min="14" max="14" width="2" customWidth="1"/>
    <col min="15" max="15" width="92" customWidth="1"/>
  </cols>
  <sheetData>
    <row r="1" spans="1:15" ht="18.75" x14ac:dyDescent="0.25">
      <c r="A1" t="s">
        <v>229</v>
      </c>
      <c r="B1" t="s">
        <v>230</v>
      </c>
      <c r="C1" t="s">
        <v>48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56</v>
      </c>
      <c r="J1" t="s">
        <v>1301</v>
      </c>
      <c r="K1" t="s">
        <v>171</v>
      </c>
      <c r="L1" t="s">
        <v>169</v>
      </c>
      <c r="M1" t="s">
        <v>172</v>
      </c>
      <c r="O1" s="1" t="s">
        <v>1302</v>
      </c>
    </row>
    <row r="2" spans="1:15" x14ac:dyDescent="0.25">
      <c r="A2" t="s">
        <v>1303</v>
      </c>
      <c r="B2" s="6">
        <v>46023</v>
      </c>
      <c r="C2" t="s">
        <v>59</v>
      </c>
      <c r="D2" t="s">
        <v>250</v>
      </c>
      <c r="E2" t="s">
        <v>240</v>
      </c>
      <c r="F2" s="18">
        <v>7477</v>
      </c>
      <c r="G2" t="s">
        <v>252</v>
      </c>
      <c r="H2" t="s">
        <v>243</v>
      </c>
      <c r="I2" t="s">
        <v>244</v>
      </c>
      <c r="J2" t="s">
        <v>1304</v>
      </c>
      <c r="K2" t="s">
        <v>177</v>
      </c>
      <c r="L2" t="s">
        <v>175</v>
      </c>
      <c r="M2" t="s">
        <v>178</v>
      </c>
      <c r="O2" s="4" t="s">
        <v>1305</v>
      </c>
    </row>
    <row r="3" spans="1:15" x14ac:dyDescent="0.25">
      <c r="A3" t="s">
        <v>1306</v>
      </c>
      <c r="B3" s="6">
        <v>46023</v>
      </c>
      <c r="C3" t="s">
        <v>91</v>
      </c>
      <c r="D3" t="s">
        <v>250</v>
      </c>
      <c r="E3" t="s">
        <v>240</v>
      </c>
      <c r="F3" s="18">
        <v>17413</v>
      </c>
      <c r="G3" t="s">
        <v>252</v>
      </c>
      <c r="H3" t="s">
        <v>253</v>
      </c>
      <c r="I3" t="s">
        <v>244</v>
      </c>
      <c r="J3" t="s">
        <v>1307</v>
      </c>
      <c r="K3" t="s">
        <v>209</v>
      </c>
      <c r="L3" t="s">
        <v>219</v>
      </c>
      <c r="M3" t="s">
        <v>178</v>
      </c>
      <c r="O3" s="4" t="s">
        <v>1308</v>
      </c>
    </row>
    <row r="4" spans="1:15" x14ac:dyDescent="0.25">
      <c r="A4" t="s">
        <v>1309</v>
      </c>
      <c r="B4" s="6">
        <v>46024</v>
      </c>
      <c r="C4" t="s">
        <v>121</v>
      </c>
      <c r="D4" t="s">
        <v>258</v>
      </c>
      <c r="E4" t="s">
        <v>240</v>
      </c>
      <c r="F4" s="18">
        <v>2496</v>
      </c>
      <c r="G4" t="s">
        <v>252</v>
      </c>
      <c r="H4" t="s">
        <v>260</v>
      </c>
      <c r="I4" t="s">
        <v>244</v>
      </c>
      <c r="J4" t="s">
        <v>1310</v>
      </c>
      <c r="K4" t="s">
        <v>188</v>
      </c>
      <c r="L4" t="s">
        <v>181</v>
      </c>
      <c r="M4" t="s">
        <v>178</v>
      </c>
      <c r="O4" s="4" t="s">
        <v>1311</v>
      </c>
    </row>
    <row r="5" spans="1:15" x14ac:dyDescent="0.25">
      <c r="A5" t="s">
        <v>263</v>
      </c>
      <c r="B5" s="6">
        <v>46024</v>
      </c>
      <c r="C5" t="s">
        <v>91</v>
      </c>
      <c r="D5" t="s">
        <v>250</v>
      </c>
      <c r="E5" t="s">
        <v>240</v>
      </c>
      <c r="F5" s="18">
        <v>2849</v>
      </c>
      <c r="G5" t="s">
        <v>252</v>
      </c>
      <c r="H5" t="s">
        <v>266</v>
      </c>
      <c r="I5" t="s">
        <v>267</v>
      </c>
      <c r="J5" t="s">
        <v>1312</v>
      </c>
      <c r="K5" t="s">
        <v>188</v>
      </c>
      <c r="L5" t="s">
        <v>219</v>
      </c>
      <c r="M5" t="s">
        <v>178</v>
      </c>
      <c r="O5" s="2"/>
    </row>
    <row r="6" spans="1:15" x14ac:dyDescent="0.25">
      <c r="A6" t="s">
        <v>1313</v>
      </c>
      <c r="B6" s="6">
        <v>46024</v>
      </c>
      <c r="C6" t="s">
        <v>95</v>
      </c>
      <c r="D6" t="s">
        <v>272</v>
      </c>
      <c r="E6" t="s">
        <v>240</v>
      </c>
      <c r="F6" s="18">
        <v>5746</v>
      </c>
      <c r="G6" t="s">
        <v>252</v>
      </c>
      <c r="H6" t="s">
        <v>260</v>
      </c>
      <c r="I6" t="s">
        <v>244</v>
      </c>
      <c r="J6" t="s">
        <v>1314</v>
      </c>
      <c r="K6" t="s">
        <v>198</v>
      </c>
      <c r="L6" t="s">
        <v>222</v>
      </c>
      <c r="M6" t="s">
        <v>189</v>
      </c>
      <c r="O6" s="3" t="s">
        <v>1315</v>
      </c>
    </row>
    <row r="7" spans="1:15" x14ac:dyDescent="0.25">
      <c r="A7" t="s">
        <v>1316</v>
      </c>
      <c r="B7" s="6">
        <v>46024</v>
      </c>
      <c r="C7" t="s">
        <v>59</v>
      </c>
      <c r="D7" t="s">
        <v>250</v>
      </c>
      <c r="E7" t="s">
        <v>240</v>
      </c>
      <c r="F7" s="18">
        <v>6384</v>
      </c>
      <c r="G7" t="s">
        <v>252</v>
      </c>
      <c r="H7" t="s">
        <v>260</v>
      </c>
      <c r="I7" t="s">
        <v>244</v>
      </c>
      <c r="J7" t="s">
        <v>1317</v>
      </c>
      <c r="K7" t="s">
        <v>206</v>
      </c>
      <c r="L7" t="s">
        <v>175</v>
      </c>
      <c r="M7" t="s">
        <v>178</v>
      </c>
      <c r="O7" s="2" t="s">
        <v>1318</v>
      </c>
    </row>
    <row r="8" spans="1:15" x14ac:dyDescent="0.25">
      <c r="A8" t="s">
        <v>1319</v>
      </c>
      <c r="B8" s="6">
        <v>46025</v>
      </c>
      <c r="C8" t="s">
        <v>78</v>
      </c>
      <c r="D8" t="s">
        <v>283</v>
      </c>
      <c r="E8" t="s">
        <v>240</v>
      </c>
      <c r="F8" s="18">
        <v>13557</v>
      </c>
      <c r="G8" t="s">
        <v>252</v>
      </c>
      <c r="H8" t="s">
        <v>253</v>
      </c>
      <c r="I8" t="s">
        <v>244</v>
      </c>
      <c r="J8" t="s">
        <v>1320</v>
      </c>
      <c r="K8" t="s">
        <v>209</v>
      </c>
      <c r="L8" t="s">
        <v>212</v>
      </c>
      <c r="M8" t="s">
        <v>189</v>
      </c>
      <c r="O8" s="2" t="s">
        <v>1321</v>
      </c>
    </row>
    <row r="9" spans="1:15" x14ac:dyDescent="0.25">
      <c r="A9" t="s">
        <v>287</v>
      </c>
      <c r="B9" s="6">
        <v>46025</v>
      </c>
      <c r="C9" t="s">
        <v>66</v>
      </c>
      <c r="D9" t="s">
        <v>272</v>
      </c>
      <c r="E9" t="s">
        <v>289</v>
      </c>
      <c r="F9" s="18">
        <v>7082</v>
      </c>
      <c r="G9" t="s">
        <v>252</v>
      </c>
      <c r="H9" t="s">
        <v>243</v>
      </c>
      <c r="I9" t="s">
        <v>244</v>
      </c>
      <c r="J9" t="s">
        <v>1322</v>
      </c>
      <c r="K9" t="s">
        <v>1323</v>
      </c>
      <c r="L9" t="s">
        <v>192</v>
      </c>
      <c r="M9" t="s">
        <v>178</v>
      </c>
      <c r="O9" s="2" t="s">
        <v>1324</v>
      </c>
    </row>
    <row r="10" spans="1:15" x14ac:dyDescent="0.25">
      <c r="A10" t="s">
        <v>1325</v>
      </c>
      <c r="B10" s="6">
        <v>46025</v>
      </c>
      <c r="C10" t="s">
        <v>131</v>
      </c>
      <c r="D10" t="s">
        <v>258</v>
      </c>
      <c r="E10" t="s">
        <v>289</v>
      </c>
      <c r="F10" s="18">
        <v>3771</v>
      </c>
      <c r="G10" t="s">
        <v>252</v>
      </c>
      <c r="H10" t="s">
        <v>266</v>
      </c>
      <c r="I10" t="s">
        <v>267</v>
      </c>
      <c r="J10" t="s">
        <v>1326</v>
      </c>
      <c r="K10" t="s">
        <v>198</v>
      </c>
      <c r="L10" t="s">
        <v>220</v>
      </c>
      <c r="M10" t="s">
        <v>199</v>
      </c>
      <c r="O10" s="2" t="s">
        <v>1327</v>
      </c>
    </row>
    <row r="11" spans="1:15" x14ac:dyDescent="0.25">
      <c r="A11" t="s">
        <v>1328</v>
      </c>
      <c r="B11" s="6">
        <v>46026</v>
      </c>
      <c r="C11" t="s">
        <v>147</v>
      </c>
      <c r="D11" t="s">
        <v>272</v>
      </c>
      <c r="E11" t="s">
        <v>240</v>
      </c>
      <c r="F11" s="18">
        <v>4648</v>
      </c>
      <c r="G11" t="s">
        <v>252</v>
      </c>
      <c r="H11" t="s">
        <v>266</v>
      </c>
      <c r="I11" t="s">
        <v>267</v>
      </c>
      <c r="J11" t="s">
        <v>1329</v>
      </c>
      <c r="K11" t="s">
        <v>209</v>
      </c>
      <c r="L11" t="s">
        <v>210</v>
      </c>
      <c r="M11" t="s">
        <v>178</v>
      </c>
      <c r="O11" s="2"/>
    </row>
    <row r="12" spans="1:15" x14ac:dyDescent="0.25">
      <c r="A12" t="s">
        <v>1330</v>
      </c>
      <c r="B12" s="6">
        <v>46026</v>
      </c>
      <c r="C12" t="s">
        <v>91</v>
      </c>
      <c r="D12" t="s">
        <v>250</v>
      </c>
      <c r="E12" t="s">
        <v>289</v>
      </c>
      <c r="F12" s="18">
        <v>716</v>
      </c>
      <c r="G12" t="s">
        <v>252</v>
      </c>
      <c r="H12" t="s">
        <v>260</v>
      </c>
      <c r="I12" t="s">
        <v>244</v>
      </c>
      <c r="J12" t="s">
        <v>1317</v>
      </c>
      <c r="K12" t="s">
        <v>206</v>
      </c>
      <c r="L12" t="s">
        <v>219</v>
      </c>
      <c r="M12" t="s">
        <v>178</v>
      </c>
      <c r="O12" s="4" t="s">
        <v>1331</v>
      </c>
    </row>
    <row r="13" spans="1:15" x14ac:dyDescent="0.25">
      <c r="A13" t="s">
        <v>308</v>
      </c>
      <c r="B13" s="6">
        <v>46026</v>
      </c>
      <c r="C13" t="s">
        <v>59</v>
      </c>
      <c r="D13" t="s">
        <v>250</v>
      </c>
      <c r="E13" t="s">
        <v>240</v>
      </c>
      <c r="F13" s="18">
        <v>1312</v>
      </c>
      <c r="G13" t="s">
        <v>252</v>
      </c>
      <c r="H13" t="s">
        <v>260</v>
      </c>
      <c r="I13" t="s">
        <v>244</v>
      </c>
      <c r="J13" t="s">
        <v>1317</v>
      </c>
      <c r="K13" t="s">
        <v>206</v>
      </c>
      <c r="L13" t="s">
        <v>175</v>
      </c>
      <c r="M13" t="s">
        <v>178</v>
      </c>
      <c r="O13" s="4" t="s">
        <v>1332</v>
      </c>
    </row>
    <row r="14" spans="1:15" x14ac:dyDescent="0.25">
      <c r="A14" t="s">
        <v>1333</v>
      </c>
      <c r="B14" s="6">
        <v>46026</v>
      </c>
      <c r="C14" t="s">
        <v>98</v>
      </c>
      <c r="D14" t="s">
        <v>258</v>
      </c>
      <c r="E14" t="s">
        <v>240</v>
      </c>
      <c r="F14" s="18">
        <v>5757</v>
      </c>
      <c r="G14" t="s">
        <v>252</v>
      </c>
      <c r="H14" t="s">
        <v>243</v>
      </c>
      <c r="I14" t="s">
        <v>244</v>
      </c>
      <c r="J14" t="s">
        <v>1334</v>
      </c>
      <c r="K14" t="s">
        <v>177</v>
      </c>
      <c r="L14" t="s">
        <v>225</v>
      </c>
      <c r="M14" t="s">
        <v>189</v>
      </c>
    </row>
    <row r="15" spans="1:15" x14ac:dyDescent="0.25">
      <c r="A15" t="s">
        <v>1335</v>
      </c>
      <c r="B15" s="6">
        <v>46026</v>
      </c>
      <c r="C15" t="s">
        <v>111</v>
      </c>
      <c r="D15" t="s">
        <v>258</v>
      </c>
      <c r="E15" t="s">
        <v>289</v>
      </c>
      <c r="F15" s="18">
        <v>3497</v>
      </c>
      <c r="G15" t="s">
        <v>252</v>
      </c>
      <c r="H15" t="s">
        <v>243</v>
      </c>
      <c r="I15" t="s">
        <v>244</v>
      </c>
      <c r="J15" t="s">
        <v>1334</v>
      </c>
      <c r="K15" t="s">
        <v>177</v>
      </c>
      <c r="L15" t="s">
        <v>215</v>
      </c>
      <c r="M15" t="s">
        <v>199</v>
      </c>
    </row>
    <row r="16" spans="1:15" x14ac:dyDescent="0.25">
      <c r="A16" t="s">
        <v>1336</v>
      </c>
      <c r="B16" s="6">
        <v>46026</v>
      </c>
      <c r="C16" t="s">
        <v>129</v>
      </c>
      <c r="D16" t="s">
        <v>272</v>
      </c>
      <c r="E16" t="s">
        <v>240</v>
      </c>
      <c r="F16" s="18">
        <v>22621</v>
      </c>
      <c r="G16" t="s">
        <v>252</v>
      </c>
      <c r="H16" t="s">
        <v>243</v>
      </c>
      <c r="I16" t="s">
        <v>244</v>
      </c>
      <c r="J16" t="s">
        <v>1322</v>
      </c>
      <c r="K16" t="s">
        <v>1323</v>
      </c>
      <c r="L16" t="s">
        <v>217</v>
      </c>
      <c r="M16" t="s">
        <v>189</v>
      </c>
    </row>
    <row r="17" spans="1:13" x14ac:dyDescent="0.25">
      <c r="A17" t="s">
        <v>325</v>
      </c>
      <c r="B17" s="6">
        <v>46027</v>
      </c>
      <c r="C17" t="s">
        <v>84</v>
      </c>
      <c r="D17" t="s">
        <v>327</v>
      </c>
      <c r="E17" t="s">
        <v>289</v>
      </c>
      <c r="F17" s="18">
        <v>7395</v>
      </c>
      <c r="G17" t="s">
        <v>252</v>
      </c>
      <c r="H17" t="s">
        <v>243</v>
      </c>
      <c r="I17" t="s">
        <v>244</v>
      </c>
      <c r="J17" t="s">
        <v>1337</v>
      </c>
      <c r="K17" t="s">
        <v>183</v>
      </c>
      <c r="L17" t="s">
        <v>216</v>
      </c>
      <c r="M17" t="s">
        <v>178</v>
      </c>
    </row>
    <row r="18" spans="1:13" x14ac:dyDescent="0.25">
      <c r="A18" t="s">
        <v>1338</v>
      </c>
      <c r="B18" s="6">
        <v>46027</v>
      </c>
      <c r="C18" t="s">
        <v>107</v>
      </c>
      <c r="D18" t="s">
        <v>250</v>
      </c>
      <c r="E18" t="s">
        <v>240</v>
      </c>
      <c r="F18" s="18">
        <v>3865</v>
      </c>
      <c r="G18" t="s">
        <v>252</v>
      </c>
      <c r="H18" t="s">
        <v>266</v>
      </c>
      <c r="I18" t="s">
        <v>267</v>
      </c>
      <c r="J18" t="s">
        <v>1312</v>
      </c>
      <c r="K18" t="s">
        <v>188</v>
      </c>
      <c r="L18" t="s">
        <v>201</v>
      </c>
      <c r="M18" t="s">
        <v>178</v>
      </c>
    </row>
    <row r="19" spans="1:13" x14ac:dyDescent="0.25">
      <c r="A19" t="s">
        <v>1339</v>
      </c>
      <c r="B19" s="6">
        <v>46027</v>
      </c>
      <c r="C19" t="s">
        <v>107</v>
      </c>
      <c r="D19" t="s">
        <v>250</v>
      </c>
      <c r="E19" t="s">
        <v>240</v>
      </c>
      <c r="F19" s="18">
        <v>1452</v>
      </c>
      <c r="G19" t="s">
        <v>252</v>
      </c>
      <c r="H19" t="s">
        <v>266</v>
      </c>
      <c r="I19" t="s">
        <v>267</v>
      </c>
      <c r="J19" t="s">
        <v>1312</v>
      </c>
      <c r="K19" t="s">
        <v>188</v>
      </c>
      <c r="L19" t="s">
        <v>201</v>
      </c>
      <c r="M19" t="s">
        <v>178</v>
      </c>
    </row>
    <row r="20" spans="1:13" x14ac:dyDescent="0.25">
      <c r="A20" t="s">
        <v>1340</v>
      </c>
      <c r="B20" s="6">
        <v>46027</v>
      </c>
      <c r="C20" t="s">
        <v>135</v>
      </c>
      <c r="D20" t="s">
        <v>327</v>
      </c>
      <c r="E20" t="s">
        <v>240</v>
      </c>
      <c r="F20" s="18">
        <v>12221</v>
      </c>
      <c r="G20" t="s">
        <v>252</v>
      </c>
      <c r="H20" t="s">
        <v>266</v>
      </c>
      <c r="I20" t="s">
        <v>267</v>
      </c>
      <c r="J20" t="s">
        <v>1341</v>
      </c>
      <c r="K20" t="s">
        <v>194</v>
      </c>
      <c r="L20" t="s">
        <v>226</v>
      </c>
      <c r="M20" t="s">
        <v>178</v>
      </c>
    </row>
    <row r="21" spans="1:13" x14ac:dyDescent="0.25">
      <c r="A21" t="s">
        <v>341</v>
      </c>
      <c r="B21" s="6">
        <v>46027</v>
      </c>
      <c r="C21" t="s">
        <v>101</v>
      </c>
      <c r="D21" t="s">
        <v>283</v>
      </c>
      <c r="E21" t="s">
        <v>240</v>
      </c>
      <c r="F21" s="18">
        <v>4641</v>
      </c>
      <c r="G21" t="s">
        <v>252</v>
      </c>
      <c r="H21" t="s">
        <v>266</v>
      </c>
      <c r="I21" t="s">
        <v>267</v>
      </c>
      <c r="J21" t="s">
        <v>1342</v>
      </c>
      <c r="K21" t="s">
        <v>1343</v>
      </c>
      <c r="L21" t="s">
        <v>228</v>
      </c>
      <c r="M21" t="s">
        <v>178</v>
      </c>
    </row>
    <row r="22" spans="1:13" x14ac:dyDescent="0.25">
      <c r="A22" t="s">
        <v>1344</v>
      </c>
      <c r="B22" s="6">
        <v>46027</v>
      </c>
      <c r="C22" t="s">
        <v>123</v>
      </c>
      <c r="D22" t="s">
        <v>283</v>
      </c>
      <c r="E22" t="s">
        <v>240</v>
      </c>
      <c r="F22" s="18">
        <v>1598</v>
      </c>
      <c r="G22" t="s">
        <v>252</v>
      </c>
      <c r="H22" t="s">
        <v>260</v>
      </c>
      <c r="I22" t="s">
        <v>244</v>
      </c>
      <c r="J22" t="s">
        <v>1345</v>
      </c>
      <c r="K22" t="s">
        <v>203</v>
      </c>
      <c r="L22" t="s">
        <v>196</v>
      </c>
      <c r="M22" t="s">
        <v>199</v>
      </c>
    </row>
    <row r="23" spans="1:13" x14ac:dyDescent="0.25">
      <c r="A23" t="s">
        <v>1346</v>
      </c>
      <c r="B23" s="6">
        <v>46028</v>
      </c>
      <c r="C23" t="s">
        <v>111</v>
      </c>
      <c r="D23" t="s">
        <v>258</v>
      </c>
      <c r="E23" t="s">
        <v>289</v>
      </c>
      <c r="F23" s="18">
        <v>8096</v>
      </c>
      <c r="G23" t="s">
        <v>252</v>
      </c>
      <c r="H23" t="s">
        <v>260</v>
      </c>
      <c r="I23" t="s">
        <v>244</v>
      </c>
      <c r="J23" t="s">
        <v>1310</v>
      </c>
      <c r="K23" t="s">
        <v>188</v>
      </c>
      <c r="L23" t="s">
        <v>215</v>
      </c>
      <c r="M23" t="s">
        <v>199</v>
      </c>
    </row>
    <row r="24" spans="1:13" x14ac:dyDescent="0.25">
      <c r="A24" t="s">
        <v>1347</v>
      </c>
      <c r="B24" s="6">
        <v>46028</v>
      </c>
      <c r="C24" t="s">
        <v>104</v>
      </c>
      <c r="D24" t="s">
        <v>327</v>
      </c>
      <c r="E24" t="s">
        <v>240</v>
      </c>
      <c r="F24" s="18">
        <v>4231</v>
      </c>
      <c r="G24" t="s">
        <v>252</v>
      </c>
      <c r="H24" t="s">
        <v>266</v>
      </c>
      <c r="I24" t="s">
        <v>267</v>
      </c>
      <c r="J24" t="s">
        <v>1341</v>
      </c>
      <c r="K24" t="s">
        <v>194</v>
      </c>
      <c r="L24" t="s">
        <v>186</v>
      </c>
      <c r="M24" t="s">
        <v>189</v>
      </c>
    </row>
    <row r="25" spans="1:13" x14ac:dyDescent="0.25">
      <c r="A25" t="s">
        <v>355</v>
      </c>
      <c r="B25" s="6">
        <v>46028</v>
      </c>
      <c r="C25" t="s">
        <v>129</v>
      </c>
      <c r="D25" t="s">
        <v>272</v>
      </c>
      <c r="E25" t="s">
        <v>289</v>
      </c>
      <c r="F25" s="18">
        <v>4426</v>
      </c>
      <c r="G25" t="s">
        <v>252</v>
      </c>
      <c r="H25" t="s">
        <v>253</v>
      </c>
      <c r="I25" t="s">
        <v>244</v>
      </c>
      <c r="J25" t="s">
        <v>1348</v>
      </c>
      <c r="K25" t="s">
        <v>209</v>
      </c>
      <c r="L25" t="s">
        <v>217</v>
      </c>
      <c r="M25" t="s">
        <v>189</v>
      </c>
    </row>
    <row r="26" spans="1:13" x14ac:dyDescent="0.25">
      <c r="A26" t="s">
        <v>1349</v>
      </c>
      <c r="B26" s="6">
        <v>46028</v>
      </c>
      <c r="C26" t="s">
        <v>111</v>
      </c>
      <c r="D26" t="s">
        <v>258</v>
      </c>
      <c r="E26" t="s">
        <v>240</v>
      </c>
      <c r="F26" s="18">
        <v>9361</v>
      </c>
      <c r="G26" t="s">
        <v>252</v>
      </c>
      <c r="H26" t="s">
        <v>243</v>
      </c>
      <c r="I26" t="s">
        <v>244</v>
      </c>
      <c r="J26" t="s">
        <v>1334</v>
      </c>
      <c r="K26" t="s">
        <v>177</v>
      </c>
      <c r="L26" t="s">
        <v>215</v>
      </c>
      <c r="M26" t="s">
        <v>199</v>
      </c>
    </row>
    <row r="27" spans="1:13" x14ac:dyDescent="0.25">
      <c r="A27" t="s">
        <v>1350</v>
      </c>
      <c r="B27" s="6">
        <v>46029</v>
      </c>
      <c r="C27" t="s">
        <v>127</v>
      </c>
      <c r="D27" t="s">
        <v>250</v>
      </c>
      <c r="E27" t="s">
        <v>240</v>
      </c>
      <c r="F27" s="18">
        <v>1658</v>
      </c>
      <c r="G27" t="s">
        <v>252</v>
      </c>
      <c r="H27" t="s">
        <v>260</v>
      </c>
      <c r="I27" t="s">
        <v>244</v>
      </c>
      <c r="J27" t="s">
        <v>1317</v>
      </c>
      <c r="K27" t="s">
        <v>206</v>
      </c>
      <c r="L27" t="s">
        <v>214</v>
      </c>
      <c r="M27" t="s">
        <v>178</v>
      </c>
    </row>
    <row r="28" spans="1:13" x14ac:dyDescent="0.25">
      <c r="A28" t="s">
        <v>1351</v>
      </c>
      <c r="B28" s="6">
        <v>46029</v>
      </c>
      <c r="C28" t="s">
        <v>113</v>
      </c>
      <c r="D28" t="s">
        <v>283</v>
      </c>
      <c r="E28" t="s">
        <v>240</v>
      </c>
      <c r="F28" s="18">
        <v>6948</v>
      </c>
      <c r="G28" t="s">
        <v>252</v>
      </c>
      <c r="H28" t="s">
        <v>260</v>
      </c>
      <c r="I28" t="s">
        <v>244</v>
      </c>
      <c r="J28" t="s">
        <v>1345</v>
      </c>
      <c r="K28" t="s">
        <v>203</v>
      </c>
      <c r="L28" t="s">
        <v>218</v>
      </c>
      <c r="M28" t="s">
        <v>178</v>
      </c>
    </row>
    <row r="29" spans="1:13" x14ac:dyDescent="0.25">
      <c r="A29" t="s">
        <v>369</v>
      </c>
      <c r="B29" s="6">
        <v>46030</v>
      </c>
      <c r="C29" t="s">
        <v>113</v>
      </c>
      <c r="D29" t="s">
        <v>283</v>
      </c>
      <c r="E29" t="s">
        <v>240</v>
      </c>
      <c r="F29" s="18">
        <v>882</v>
      </c>
      <c r="G29" t="s">
        <v>252</v>
      </c>
      <c r="H29" t="s">
        <v>253</v>
      </c>
      <c r="I29" t="s">
        <v>244</v>
      </c>
      <c r="J29" t="s">
        <v>1320</v>
      </c>
      <c r="K29" t="s">
        <v>209</v>
      </c>
      <c r="L29" t="s">
        <v>218</v>
      </c>
      <c r="M29" t="s">
        <v>178</v>
      </c>
    </row>
    <row r="30" spans="1:13" x14ac:dyDescent="0.25">
      <c r="A30" t="s">
        <v>1352</v>
      </c>
      <c r="B30" s="6">
        <v>46030</v>
      </c>
      <c r="C30" t="s">
        <v>113</v>
      </c>
      <c r="D30" t="s">
        <v>283</v>
      </c>
      <c r="E30" t="s">
        <v>240</v>
      </c>
      <c r="F30" s="18">
        <v>18317</v>
      </c>
      <c r="G30" t="s">
        <v>252</v>
      </c>
      <c r="H30" t="s">
        <v>243</v>
      </c>
      <c r="I30" t="s">
        <v>244</v>
      </c>
      <c r="J30" t="s">
        <v>1353</v>
      </c>
      <c r="K30" t="s">
        <v>183</v>
      </c>
      <c r="L30" t="s">
        <v>218</v>
      </c>
      <c r="M30" t="s">
        <v>178</v>
      </c>
    </row>
    <row r="31" spans="1:13" x14ac:dyDescent="0.25">
      <c r="A31" t="s">
        <v>1354</v>
      </c>
      <c r="B31" s="6">
        <v>46031</v>
      </c>
      <c r="C31" t="s">
        <v>115</v>
      </c>
      <c r="D31" t="s">
        <v>327</v>
      </c>
      <c r="E31" t="s">
        <v>240</v>
      </c>
      <c r="F31" s="18">
        <v>215</v>
      </c>
      <c r="G31" t="s">
        <v>252</v>
      </c>
      <c r="H31" t="s">
        <v>260</v>
      </c>
      <c r="I31" t="s">
        <v>244</v>
      </c>
      <c r="J31" t="s">
        <v>1355</v>
      </c>
      <c r="K31" t="s">
        <v>203</v>
      </c>
      <c r="L31" t="s">
        <v>221</v>
      </c>
      <c r="M31" t="s">
        <v>178</v>
      </c>
    </row>
    <row r="32" spans="1:13" x14ac:dyDescent="0.25">
      <c r="A32" t="s">
        <v>1356</v>
      </c>
      <c r="B32" s="6">
        <v>46032</v>
      </c>
      <c r="C32" t="s">
        <v>133</v>
      </c>
      <c r="D32" t="s">
        <v>283</v>
      </c>
      <c r="E32" t="s">
        <v>240</v>
      </c>
      <c r="F32" s="18">
        <v>9669</v>
      </c>
      <c r="G32" t="s">
        <v>252</v>
      </c>
      <c r="H32" t="s">
        <v>243</v>
      </c>
      <c r="I32" t="s">
        <v>244</v>
      </c>
      <c r="J32" t="s">
        <v>1353</v>
      </c>
      <c r="K32" t="s">
        <v>183</v>
      </c>
      <c r="L32" t="s">
        <v>223</v>
      </c>
      <c r="M32" t="s">
        <v>178</v>
      </c>
    </row>
    <row r="33" spans="1:13" x14ac:dyDescent="0.25">
      <c r="A33" t="s">
        <v>386</v>
      </c>
      <c r="B33" s="6">
        <v>46032</v>
      </c>
      <c r="C33" t="s">
        <v>104</v>
      </c>
      <c r="D33" t="s">
        <v>327</v>
      </c>
      <c r="E33" t="s">
        <v>240</v>
      </c>
      <c r="F33" s="18">
        <v>1100</v>
      </c>
      <c r="G33" t="s">
        <v>252</v>
      </c>
      <c r="H33" t="s">
        <v>260</v>
      </c>
      <c r="I33" t="s">
        <v>244</v>
      </c>
      <c r="J33" t="s">
        <v>1355</v>
      </c>
      <c r="K33" t="s">
        <v>203</v>
      </c>
      <c r="L33" t="s">
        <v>186</v>
      </c>
      <c r="M33" t="s">
        <v>189</v>
      </c>
    </row>
    <row r="34" spans="1:13" x14ac:dyDescent="0.25">
      <c r="A34" t="s">
        <v>1357</v>
      </c>
      <c r="B34" s="6">
        <v>46032</v>
      </c>
      <c r="C34" t="s">
        <v>66</v>
      </c>
      <c r="D34" t="s">
        <v>272</v>
      </c>
      <c r="E34" t="s">
        <v>240</v>
      </c>
      <c r="F34" s="18">
        <v>1080</v>
      </c>
      <c r="G34" t="s">
        <v>252</v>
      </c>
      <c r="H34" t="s">
        <v>243</v>
      </c>
      <c r="I34" t="s">
        <v>244</v>
      </c>
      <c r="J34" t="s">
        <v>1322</v>
      </c>
      <c r="K34" t="s">
        <v>1323</v>
      </c>
      <c r="L34" t="s">
        <v>192</v>
      </c>
      <c r="M34" t="s">
        <v>178</v>
      </c>
    </row>
    <row r="35" spans="1:13" x14ac:dyDescent="0.25">
      <c r="A35" t="s">
        <v>1358</v>
      </c>
      <c r="B35" s="6">
        <v>46033</v>
      </c>
      <c r="C35" t="s">
        <v>95</v>
      </c>
      <c r="D35" t="s">
        <v>272</v>
      </c>
      <c r="E35" t="s">
        <v>289</v>
      </c>
      <c r="F35" s="18">
        <v>1945</v>
      </c>
      <c r="G35" t="s">
        <v>252</v>
      </c>
      <c r="H35" t="s">
        <v>260</v>
      </c>
      <c r="I35" t="s">
        <v>244</v>
      </c>
      <c r="J35" t="s">
        <v>1314</v>
      </c>
      <c r="K35" t="s">
        <v>198</v>
      </c>
      <c r="L35" t="s">
        <v>222</v>
      </c>
      <c r="M35" t="s">
        <v>189</v>
      </c>
    </row>
    <row r="36" spans="1:13" x14ac:dyDescent="0.25">
      <c r="A36" t="s">
        <v>1359</v>
      </c>
      <c r="B36" s="6">
        <v>46033</v>
      </c>
      <c r="C36" t="s">
        <v>95</v>
      </c>
      <c r="D36" t="s">
        <v>272</v>
      </c>
      <c r="E36" t="s">
        <v>240</v>
      </c>
      <c r="F36" s="18">
        <v>13191</v>
      </c>
      <c r="G36" t="s">
        <v>252</v>
      </c>
      <c r="H36" t="s">
        <v>260</v>
      </c>
      <c r="I36" t="s">
        <v>244</v>
      </c>
      <c r="J36" t="s">
        <v>1314</v>
      </c>
      <c r="K36" t="s">
        <v>198</v>
      </c>
      <c r="L36" t="s">
        <v>222</v>
      </c>
      <c r="M36" t="s">
        <v>189</v>
      </c>
    </row>
    <row r="37" spans="1:13" x14ac:dyDescent="0.25">
      <c r="A37" t="s">
        <v>403</v>
      </c>
      <c r="B37" s="6">
        <v>46034</v>
      </c>
      <c r="C37" t="s">
        <v>104</v>
      </c>
      <c r="D37" t="s">
        <v>272</v>
      </c>
      <c r="E37" t="s">
        <v>240</v>
      </c>
      <c r="F37" s="18">
        <v>12500</v>
      </c>
      <c r="G37" t="s">
        <v>252</v>
      </c>
      <c r="H37" t="s">
        <v>243</v>
      </c>
      <c r="I37" t="s">
        <v>244</v>
      </c>
      <c r="J37" t="s">
        <v>1304</v>
      </c>
      <c r="K37" t="s">
        <v>177</v>
      </c>
      <c r="L37" t="s">
        <v>186</v>
      </c>
      <c r="M37" t="s">
        <v>189</v>
      </c>
    </row>
    <row r="38" spans="1:13" x14ac:dyDescent="0.25">
      <c r="A38" t="s">
        <v>1360</v>
      </c>
      <c r="B38" s="6">
        <v>46034</v>
      </c>
      <c r="C38" t="s">
        <v>98</v>
      </c>
      <c r="D38" t="s">
        <v>258</v>
      </c>
      <c r="E38" t="s">
        <v>240</v>
      </c>
      <c r="F38" s="18">
        <v>472</v>
      </c>
      <c r="G38" t="s">
        <v>252</v>
      </c>
      <c r="H38" t="s">
        <v>243</v>
      </c>
      <c r="I38" t="s">
        <v>244</v>
      </c>
      <c r="J38" t="s">
        <v>1334</v>
      </c>
      <c r="K38" t="s">
        <v>177</v>
      </c>
      <c r="L38" t="s">
        <v>225</v>
      </c>
      <c r="M38" t="s">
        <v>189</v>
      </c>
    </row>
    <row r="39" spans="1:13" x14ac:dyDescent="0.25">
      <c r="A39" t="s">
        <v>1361</v>
      </c>
      <c r="B39" s="6">
        <v>46034</v>
      </c>
      <c r="C39" t="s">
        <v>133</v>
      </c>
      <c r="D39" t="s">
        <v>283</v>
      </c>
      <c r="E39" t="s">
        <v>240</v>
      </c>
      <c r="F39" s="18">
        <v>5831</v>
      </c>
      <c r="G39" t="s">
        <v>252</v>
      </c>
      <c r="H39" t="s">
        <v>260</v>
      </c>
      <c r="I39" t="s">
        <v>244</v>
      </c>
      <c r="J39" t="s">
        <v>1345</v>
      </c>
      <c r="K39" t="s">
        <v>203</v>
      </c>
      <c r="L39" t="s">
        <v>223</v>
      </c>
      <c r="M39" t="s">
        <v>178</v>
      </c>
    </row>
    <row r="40" spans="1:13" x14ac:dyDescent="0.25">
      <c r="A40" t="s">
        <v>1362</v>
      </c>
      <c r="B40" s="6">
        <v>46035</v>
      </c>
      <c r="C40" t="s">
        <v>133</v>
      </c>
      <c r="D40" t="s">
        <v>283</v>
      </c>
      <c r="E40" t="s">
        <v>289</v>
      </c>
      <c r="F40" s="18">
        <v>1684</v>
      </c>
      <c r="G40" t="s">
        <v>252</v>
      </c>
      <c r="H40" t="s">
        <v>243</v>
      </c>
      <c r="I40" t="s">
        <v>244</v>
      </c>
      <c r="J40" t="s">
        <v>1353</v>
      </c>
      <c r="K40" t="s">
        <v>183</v>
      </c>
      <c r="L40" t="s">
        <v>223</v>
      </c>
      <c r="M40" t="s">
        <v>178</v>
      </c>
    </row>
    <row r="41" spans="1:13" x14ac:dyDescent="0.25">
      <c r="A41" t="s">
        <v>420</v>
      </c>
      <c r="B41" s="6">
        <v>46035</v>
      </c>
      <c r="C41" t="s">
        <v>125</v>
      </c>
      <c r="D41" t="s">
        <v>327</v>
      </c>
      <c r="E41" t="s">
        <v>240</v>
      </c>
      <c r="F41" s="18">
        <v>900</v>
      </c>
      <c r="G41" t="s">
        <v>252</v>
      </c>
      <c r="H41" t="s">
        <v>253</v>
      </c>
      <c r="I41" t="s">
        <v>244</v>
      </c>
      <c r="J41" t="s">
        <v>1363</v>
      </c>
      <c r="K41" t="s">
        <v>209</v>
      </c>
      <c r="L41" t="s">
        <v>207</v>
      </c>
      <c r="M41" t="s">
        <v>178</v>
      </c>
    </row>
    <row r="42" spans="1:13" x14ac:dyDescent="0.25">
      <c r="A42" t="s">
        <v>1364</v>
      </c>
      <c r="B42" s="6">
        <v>46035</v>
      </c>
      <c r="C42" t="s">
        <v>135</v>
      </c>
      <c r="D42" t="s">
        <v>327</v>
      </c>
      <c r="E42" t="s">
        <v>240</v>
      </c>
      <c r="F42" s="18">
        <v>5558</v>
      </c>
      <c r="G42" t="s">
        <v>252</v>
      </c>
      <c r="H42" t="s">
        <v>253</v>
      </c>
      <c r="I42" t="s">
        <v>244</v>
      </c>
      <c r="J42" t="s">
        <v>1363</v>
      </c>
      <c r="K42" t="s">
        <v>209</v>
      </c>
      <c r="L42" t="s">
        <v>226</v>
      </c>
      <c r="M42" t="s">
        <v>178</v>
      </c>
    </row>
    <row r="43" spans="1:13" x14ac:dyDescent="0.25">
      <c r="A43" t="s">
        <v>1365</v>
      </c>
      <c r="B43" s="6">
        <v>46036</v>
      </c>
      <c r="C43" t="s">
        <v>131</v>
      </c>
      <c r="D43" t="s">
        <v>258</v>
      </c>
      <c r="E43" t="s">
        <v>240</v>
      </c>
      <c r="F43" s="18">
        <v>1405</v>
      </c>
      <c r="G43" t="s">
        <v>252</v>
      </c>
      <c r="H43" t="s">
        <v>266</v>
      </c>
      <c r="I43" t="s">
        <v>267</v>
      </c>
      <c r="J43" t="s">
        <v>1326</v>
      </c>
      <c r="K43" t="s">
        <v>198</v>
      </c>
      <c r="L43" t="s">
        <v>220</v>
      </c>
      <c r="M43" t="s">
        <v>199</v>
      </c>
    </row>
    <row r="44" spans="1:13" x14ac:dyDescent="0.25">
      <c r="A44" t="s">
        <v>1366</v>
      </c>
      <c r="B44" s="6">
        <v>46037</v>
      </c>
      <c r="C44" t="s">
        <v>72</v>
      </c>
      <c r="D44" t="s">
        <v>258</v>
      </c>
      <c r="E44" t="s">
        <v>240</v>
      </c>
      <c r="F44" s="18">
        <v>6308</v>
      </c>
      <c r="G44" t="s">
        <v>252</v>
      </c>
      <c r="H44" t="s">
        <v>243</v>
      </c>
      <c r="I44" t="s">
        <v>244</v>
      </c>
      <c r="J44" t="s">
        <v>1334</v>
      </c>
      <c r="K44" t="s">
        <v>177</v>
      </c>
      <c r="L44" t="s">
        <v>204</v>
      </c>
      <c r="M44" t="s">
        <v>189</v>
      </c>
    </row>
    <row r="45" spans="1:13" x14ac:dyDescent="0.25">
      <c r="A45" t="s">
        <v>437</v>
      </c>
      <c r="B45" s="6">
        <v>46037</v>
      </c>
      <c r="C45" t="s">
        <v>98</v>
      </c>
      <c r="D45" t="s">
        <v>258</v>
      </c>
      <c r="E45" t="s">
        <v>240</v>
      </c>
      <c r="F45" s="18">
        <v>2233</v>
      </c>
      <c r="G45" t="s">
        <v>252</v>
      </c>
      <c r="H45" t="s">
        <v>266</v>
      </c>
      <c r="I45" t="s">
        <v>267</v>
      </c>
      <c r="J45" t="s">
        <v>1326</v>
      </c>
      <c r="K45" t="s">
        <v>198</v>
      </c>
      <c r="L45" t="s">
        <v>225</v>
      </c>
      <c r="M45" t="s">
        <v>189</v>
      </c>
    </row>
    <row r="46" spans="1:13" x14ac:dyDescent="0.25">
      <c r="A46" t="s">
        <v>1367</v>
      </c>
      <c r="B46" s="6">
        <v>46038</v>
      </c>
      <c r="C46" t="s">
        <v>91</v>
      </c>
      <c r="D46" t="s">
        <v>250</v>
      </c>
      <c r="E46" t="s">
        <v>240</v>
      </c>
      <c r="F46" s="18">
        <v>1821</v>
      </c>
      <c r="G46" t="s">
        <v>252</v>
      </c>
      <c r="H46" t="s">
        <v>243</v>
      </c>
      <c r="I46" t="s">
        <v>244</v>
      </c>
      <c r="J46" t="s">
        <v>1304</v>
      </c>
      <c r="K46" t="s">
        <v>177</v>
      </c>
      <c r="L46" t="s">
        <v>219</v>
      </c>
      <c r="M46" t="s">
        <v>178</v>
      </c>
    </row>
    <row r="47" spans="1:13" x14ac:dyDescent="0.25">
      <c r="A47" t="s">
        <v>1368</v>
      </c>
      <c r="B47" s="6">
        <v>46038</v>
      </c>
      <c r="C47" t="s">
        <v>113</v>
      </c>
      <c r="D47" t="s">
        <v>283</v>
      </c>
      <c r="E47" t="s">
        <v>240</v>
      </c>
      <c r="F47" s="18">
        <v>2390</v>
      </c>
      <c r="G47" t="s">
        <v>252</v>
      </c>
      <c r="H47" t="s">
        <v>260</v>
      </c>
      <c r="I47" t="s">
        <v>244</v>
      </c>
      <c r="J47" t="s">
        <v>1345</v>
      </c>
      <c r="K47" t="s">
        <v>203</v>
      </c>
      <c r="L47" t="s">
        <v>218</v>
      </c>
      <c r="M47" t="s">
        <v>178</v>
      </c>
    </row>
    <row r="48" spans="1:13" x14ac:dyDescent="0.25">
      <c r="A48" t="s">
        <v>1369</v>
      </c>
      <c r="B48" s="6">
        <v>46039</v>
      </c>
      <c r="C48" t="s">
        <v>107</v>
      </c>
      <c r="D48" t="s">
        <v>250</v>
      </c>
      <c r="E48" t="s">
        <v>240</v>
      </c>
      <c r="F48" s="18">
        <v>3973</v>
      </c>
      <c r="G48" t="s">
        <v>252</v>
      </c>
      <c r="H48" t="s">
        <v>243</v>
      </c>
      <c r="I48" t="s">
        <v>244</v>
      </c>
      <c r="J48" t="s">
        <v>1304</v>
      </c>
      <c r="K48" t="s">
        <v>177</v>
      </c>
      <c r="L48" t="s">
        <v>201</v>
      </c>
      <c r="M48" t="s">
        <v>178</v>
      </c>
    </row>
    <row r="49" spans="1:13" x14ac:dyDescent="0.25">
      <c r="A49" t="s">
        <v>453</v>
      </c>
      <c r="B49" s="6">
        <v>46039</v>
      </c>
      <c r="C49" t="s">
        <v>125</v>
      </c>
      <c r="D49" t="s">
        <v>327</v>
      </c>
      <c r="E49" t="s">
        <v>289</v>
      </c>
      <c r="F49" s="18">
        <v>84</v>
      </c>
      <c r="G49" t="s">
        <v>252</v>
      </c>
      <c r="H49" t="s">
        <v>243</v>
      </c>
      <c r="I49" t="s">
        <v>244</v>
      </c>
      <c r="J49" t="s">
        <v>1337</v>
      </c>
      <c r="K49" t="s">
        <v>183</v>
      </c>
      <c r="L49" t="s">
        <v>207</v>
      </c>
      <c r="M49" t="s">
        <v>178</v>
      </c>
    </row>
    <row r="50" spans="1:13" x14ac:dyDescent="0.25">
      <c r="A50" t="s">
        <v>1370</v>
      </c>
      <c r="B50" s="6">
        <v>46039</v>
      </c>
      <c r="C50" t="s">
        <v>66</v>
      </c>
      <c r="D50" t="s">
        <v>272</v>
      </c>
      <c r="E50" t="s">
        <v>289</v>
      </c>
      <c r="F50" s="18">
        <v>5204</v>
      </c>
      <c r="G50" t="s">
        <v>252</v>
      </c>
      <c r="H50" t="s">
        <v>260</v>
      </c>
      <c r="I50" t="s">
        <v>244</v>
      </c>
      <c r="J50" t="s">
        <v>1314</v>
      </c>
      <c r="K50" t="s">
        <v>198</v>
      </c>
      <c r="L50" t="s">
        <v>192</v>
      </c>
      <c r="M50" t="s">
        <v>178</v>
      </c>
    </row>
    <row r="51" spans="1:13" x14ac:dyDescent="0.25">
      <c r="A51" t="s">
        <v>1371</v>
      </c>
      <c r="B51" s="6">
        <v>46039</v>
      </c>
      <c r="C51" t="s">
        <v>131</v>
      </c>
      <c r="D51" t="s">
        <v>258</v>
      </c>
      <c r="E51" t="s">
        <v>289</v>
      </c>
      <c r="F51" s="18">
        <v>4838</v>
      </c>
      <c r="G51" t="s">
        <v>252</v>
      </c>
      <c r="H51" t="s">
        <v>243</v>
      </c>
      <c r="I51" t="s">
        <v>244</v>
      </c>
      <c r="J51" t="s">
        <v>1334</v>
      </c>
      <c r="K51" t="s">
        <v>177</v>
      </c>
      <c r="L51" t="s">
        <v>220</v>
      </c>
      <c r="M51" t="s">
        <v>199</v>
      </c>
    </row>
    <row r="52" spans="1:13" x14ac:dyDescent="0.25">
      <c r="A52" t="s">
        <v>1372</v>
      </c>
      <c r="B52" s="6">
        <v>46039</v>
      </c>
      <c r="C52" t="s">
        <v>135</v>
      </c>
      <c r="D52" t="s">
        <v>327</v>
      </c>
      <c r="E52" t="s">
        <v>240</v>
      </c>
      <c r="F52" s="18">
        <v>8511</v>
      </c>
      <c r="G52" t="s">
        <v>252</v>
      </c>
      <c r="H52" t="s">
        <v>260</v>
      </c>
      <c r="I52" t="s">
        <v>244</v>
      </c>
      <c r="J52" t="s">
        <v>1355</v>
      </c>
      <c r="K52" t="s">
        <v>203</v>
      </c>
      <c r="L52" t="s">
        <v>226</v>
      </c>
      <c r="M52" t="s">
        <v>178</v>
      </c>
    </row>
    <row r="53" spans="1:13" x14ac:dyDescent="0.25">
      <c r="A53" t="s">
        <v>467</v>
      </c>
      <c r="B53" s="6">
        <v>46040</v>
      </c>
      <c r="C53" t="s">
        <v>127</v>
      </c>
      <c r="D53" t="s">
        <v>250</v>
      </c>
      <c r="E53" t="s">
        <v>240</v>
      </c>
      <c r="F53" s="18">
        <v>12674</v>
      </c>
      <c r="G53" t="s">
        <v>252</v>
      </c>
      <c r="H53" t="s">
        <v>243</v>
      </c>
      <c r="I53" t="s">
        <v>244</v>
      </c>
      <c r="J53" t="s">
        <v>1304</v>
      </c>
      <c r="K53" t="s">
        <v>177</v>
      </c>
      <c r="L53" t="s">
        <v>214</v>
      </c>
      <c r="M53" t="s">
        <v>178</v>
      </c>
    </row>
    <row r="54" spans="1:13" x14ac:dyDescent="0.25">
      <c r="A54" t="s">
        <v>1373</v>
      </c>
      <c r="B54" s="6">
        <v>46040</v>
      </c>
      <c r="C54" t="s">
        <v>95</v>
      </c>
      <c r="D54" t="s">
        <v>272</v>
      </c>
      <c r="E54" t="s">
        <v>289</v>
      </c>
      <c r="F54" s="18">
        <v>14035</v>
      </c>
      <c r="G54" t="s">
        <v>252</v>
      </c>
      <c r="H54" t="s">
        <v>266</v>
      </c>
      <c r="I54" t="s">
        <v>267</v>
      </c>
      <c r="J54" t="s">
        <v>1329</v>
      </c>
      <c r="K54" t="s">
        <v>209</v>
      </c>
      <c r="L54" t="s">
        <v>222</v>
      </c>
      <c r="M54" t="s">
        <v>189</v>
      </c>
    </row>
    <row r="55" spans="1:13" x14ac:dyDescent="0.25">
      <c r="A55" t="s">
        <v>1374</v>
      </c>
      <c r="B55" s="6">
        <v>46040</v>
      </c>
      <c r="C55" t="s">
        <v>115</v>
      </c>
      <c r="D55" t="s">
        <v>327</v>
      </c>
      <c r="E55" t="s">
        <v>240</v>
      </c>
      <c r="F55" s="18">
        <v>7720</v>
      </c>
      <c r="G55" t="s">
        <v>252</v>
      </c>
      <c r="H55" t="s">
        <v>260</v>
      </c>
      <c r="I55" t="s">
        <v>244</v>
      </c>
      <c r="J55" t="s">
        <v>1355</v>
      </c>
      <c r="K55" t="s">
        <v>203</v>
      </c>
      <c r="L55" t="s">
        <v>221</v>
      </c>
      <c r="M55" t="s">
        <v>178</v>
      </c>
    </row>
    <row r="56" spans="1:13" x14ac:dyDescent="0.25">
      <c r="A56" t="s">
        <v>1375</v>
      </c>
      <c r="B56" s="6">
        <v>46040</v>
      </c>
      <c r="C56" t="s">
        <v>59</v>
      </c>
      <c r="D56" t="s">
        <v>250</v>
      </c>
      <c r="E56" t="s">
        <v>289</v>
      </c>
      <c r="F56" s="18">
        <v>5666</v>
      </c>
      <c r="G56" t="s">
        <v>252</v>
      </c>
      <c r="H56" t="s">
        <v>253</v>
      </c>
      <c r="I56" t="s">
        <v>244</v>
      </c>
      <c r="J56" t="s">
        <v>1307</v>
      </c>
      <c r="K56" t="s">
        <v>209</v>
      </c>
      <c r="L56" t="s">
        <v>175</v>
      </c>
      <c r="M56" t="s">
        <v>178</v>
      </c>
    </row>
    <row r="57" spans="1:13" x14ac:dyDescent="0.25">
      <c r="A57" t="s">
        <v>481</v>
      </c>
      <c r="B57" s="6">
        <v>46041</v>
      </c>
      <c r="C57" t="s">
        <v>98</v>
      </c>
      <c r="D57" t="s">
        <v>258</v>
      </c>
      <c r="E57" t="s">
        <v>240</v>
      </c>
      <c r="F57" s="18">
        <v>3784</v>
      </c>
      <c r="G57" t="s">
        <v>252</v>
      </c>
      <c r="H57" t="s">
        <v>260</v>
      </c>
      <c r="I57" t="s">
        <v>244</v>
      </c>
      <c r="J57" t="s">
        <v>1310</v>
      </c>
      <c r="K57" t="s">
        <v>188</v>
      </c>
      <c r="L57" t="s">
        <v>225</v>
      </c>
      <c r="M57" t="s">
        <v>189</v>
      </c>
    </row>
    <row r="58" spans="1:13" x14ac:dyDescent="0.25">
      <c r="A58" t="s">
        <v>1376</v>
      </c>
      <c r="B58" s="6">
        <v>46041</v>
      </c>
      <c r="C58" t="s">
        <v>119</v>
      </c>
      <c r="D58" t="s">
        <v>272</v>
      </c>
      <c r="E58" t="s">
        <v>240</v>
      </c>
      <c r="F58" s="18">
        <v>4699</v>
      </c>
      <c r="G58" t="s">
        <v>252</v>
      </c>
      <c r="H58" t="s">
        <v>260</v>
      </c>
      <c r="I58" t="s">
        <v>244</v>
      </c>
      <c r="J58" t="s">
        <v>1314</v>
      </c>
      <c r="K58" t="s">
        <v>198</v>
      </c>
      <c r="L58" t="s">
        <v>227</v>
      </c>
      <c r="M58" t="s">
        <v>199</v>
      </c>
    </row>
    <row r="59" spans="1:13" x14ac:dyDescent="0.25">
      <c r="A59" t="s">
        <v>1377</v>
      </c>
      <c r="B59" s="6">
        <v>46041</v>
      </c>
      <c r="C59" t="s">
        <v>72</v>
      </c>
      <c r="D59" t="s">
        <v>258</v>
      </c>
      <c r="E59" t="s">
        <v>240</v>
      </c>
      <c r="F59" s="18">
        <v>1123</v>
      </c>
      <c r="G59" t="s">
        <v>252</v>
      </c>
      <c r="H59" t="s">
        <v>253</v>
      </c>
      <c r="I59" t="s">
        <v>244</v>
      </c>
      <c r="J59" t="s">
        <v>1378</v>
      </c>
      <c r="K59" t="s">
        <v>194</v>
      </c>
      <c r="L59" t="s">
        <v>204</v>
      </c>
      <c r="M59" t="s">
        <v>189</v>
      </c>
    </row>
    <row r="60" spans="1:13" x14ac:dyDescent="0.25">
      <c r="A60" t="s">
        <v>1379</v>
      </c>
      <c r="B60" s="6">
        <v>46041</v>
      </c>
      <c r="C60" t="s">
        <v>115</v>
      </c>
      <c r="D60" t="s">
        <v>327</v>
      </c>
      <c r="E60" t="s">
        <v>240</v>
      </c>
      <c r="F60" s="18">
        <v>3319</v>
      </c>
      <c r="G60" t="s">
        <v>252</v>
      </c>
      <c r="H60" t="s">
        <v>253</v>
      </c>
      <c r="I60" t="s">
        <v>244</v>
      </c>
      <c r="J60" t="s">
        <v>1363</v>
      </c>
      <c r="K60" t="s">
        <v>209</v>
      </c>
      <c r="L60" t="s">
        <v>221</v>
      </c>
      <c r="M60" t="s">
        <v>178</v>
      </c>
    </row>
    <row r="61" spans="1:13" x14ac:dyDescent="0.25">
      <c r="A61" t="s">
        <v>497</v>
      </c>
      <c r="B61" s="6">
        <v>46042</v>
      </c>
      <c r="C61" t="s">
        <v>59</v>
      </c>
      <c r="D61" t="s">
        <v>250</v>
      </c>
      <c r="E61" t="s">
        <v>240</v>
      </c>
      <c r="F61" s="18">
        <v>98</v>
      </c>
      <c r="G61" t="s">
        <v>252</v>
      </c>
      <c r="H61" t="s">
        <v>266</v>
      </c>
      <c r="I61" t="s">
        <v>267</v>
      </c>
      <c r="J61" t="s">
        <v>1312</v>
      </c>
      <c r="K61" t="s">
        <v>188</v>
      </c>
      <c r="L61" t="s">
        <v>175</v>
      </c>
      <c r="M61" t="s">
        <v>178</v>
      </c>
    </row>
    <row r="62" spans="1:13" x14ac:dyDescent="0.25">
      <c r="A62" t="s">
        <v>1380</v>
      </c>
      <c r="B62" s="6">
        <v>46042</v>
      </c>
      <c r="C62" t="s">
        <v>147</v>
      </c>
      <c r="D62" t="s">
        <v>272</v>
      </c>
      <c r="E62" t="s">
        <v>240</v>
      </c>
      <c r="F62" s="18">
        <v>1613</v>
      </c>
      <c r="G62" t="s">
        <v>252</v>
      </c>
      <c r="H62" t="s">
        <v>253</v>
      </c>
      <c r="I62" t="s">
        <v>244</v>
      </c>
      <c r="J62" t="s">
        <v>1348</v>
      </c>
      <c r="K62" t="s">
        <v>209</v>
      </c>
      <c r="L62" t="s">
        <v>210</v>
      </c>
      <c r="M62" t="s">
        <v>178</v>
      </c>
    </row>
    <row r="63" spans="1:13" x14ac:dyDescent="0.25">
      <c r="A63" t="s">
        <v>1381</v>
      </c>
      <c r="B63" s="6">
        <v>46042</v>
      </c>
      <c r="C63" t="s">
        <v>111</v>
      </c>
      <c r="D63" t="s">
        <v>258</v>
      </c>
      <c r="E63" t="s">
        <v>289</v>
      </c>
      <c r="F63" s="18">
        <v>463</v>
      </c>
      <c r="G63" t="s">
        <v>252</v>
      </c>
      <c r="H63" t="s">
        <v>266</v>
      </c>
      <c r="I63" t="s">
        <v>267</v>
      </c>
      <c r="J63" t="s">
        <v>1326</v>
      </c>
      <c r="K63" t="s">
        <v>198</v>
      </c>
      <c r="L63" t="s">
        <v>215</v>
      </c>
      <c r="M63" t="s">
        <v>199</v>
      </c>
    </row>
    <row r="64" spans="1:13" x14ac:dyDescent="0.25">
      <c r="A64" t="s">
        <v>1382</v>
      </c>
      <c r="B64" s="6">
        <v>46042</v>
      </c>
      <c r="C64" t="s">
        <v>111</v>
      </c>
      <c r="D64" t="s">
        <v>258</v>
      </c>
      <c r="E64" t="s">
        <v>240</v>
      </c>
      <c r="F64" s="18">
        <v>354</v>
      </c>
      <c r="G64" t="s">
        <v>252</v>
      </c>
      <c r="H64" t="s">
        <v>266</v>
      </c>
      <c r="I64" t="s">
        <v>267</v>
      </c>
      <c r="J64" t="s">
        <v>1326</v>
      </c>
      <c r="K64" t="s">
        <v>198</v>
      </c>
      <c r="L64" t="s">
        <v>215</v>
      </c>
      <c r="M64" t="s">
        <v>199</v>
      </c>
    </row>
    <row r="65" spans="1:13" x14ac:dyDescent="0.25">
      <c r="A65" t="s">
        <v>510</v>
      </c>
      <c r="B65" s="6">
        <v>46043</v>
      </c>
      <c r="C65" t="s">
        <v>95</v>
      </c>
      <c r="D65" t="s">
        <v>272</v>
      </c>
      <c r="E65" t="s">
        <v>240</v>
      </c>
      <c r="F65" s="18">
        <v>1164</v>
      </c>
      <c r="G65" t="s">
        <v>252</v>
      </c>
      <c r="H65" t="s">
        <v>266</v>
      </c>
      <c r="I65" t="s">
        <v>267</v>
      </c>
      <c r="J65" t="s">
        <v>1329</v>
      </c>
      <c r="K65" t="s">
        <v>209</v>
      </c>
      <c r="L65" t="s">
        <v>222</v>
      </c>
      <c r="M65" t="s">
        <v>189</v>
      </c>
    </row>
    <row r="66" spans="1:13" x14ac:dyDescent="0.25">
      <c r="A66" t="s">
        <v>1383</v>
      </c>
      <c r="B66" s="6">
        <v>46043</v>
      </c>
      <c r="C66" t="s">
        <v>123</v>
      </c>
      <c r="D66" t="s">
        <v>272</v>
      </c>
      <c r="E66" t="s">
        <v>240</v>
      </c>
      <c r="F66" s="18">
        <v>18400</v>
      </c>
      <c r="G66" t="s">
        <v>252</v>
      </c>
      <c r="H66" t="s">
        <v>243</v>
      </c>
      <c r="I66" t="s">
        <v>244</v>
      </c>
      <c r="J66" t="s">
        <v>1337</v>
      </c>
      <c r="K66" t="s">
        <v>183</v>
      </c>
      <c r="L66" t="s">
        <v>196</v>
      </c>
      <c r="M66" t="s">
        <v>199</v>
      </c>
    </row>
    <row r="67" spans="1:13" x14ac:dyDescent="0.25">
      <c r="A67" t="s">
        <v>1384</v>
      </c>
      <c r="B67" s="6">
        <v>46043</v>
      </c>
      <c r="C67" t="s">
        <v>98</v>
      </c>
      <c r="D67" t="s">
        <v>258</v>
      </c>
      <c r="E67" t="s">
        <v>240</v>
      </c>
      <c r="F67" s="18">
        <v>13754</v>
      </c>
      <c r="G67" t="s">
        <v>252</v>
      </c>
      <c r="H67" t="s">
        <v>253</v>
      </c>
      <c r="I67" t="s">
        <v>244</v>
      </c>
      <c r="J67" t="s">
        <v>1378</v>
      </c>
      <c r="K67" t="s">
        <v>194</v>
      </c>
      <c r="L67" t="s">
        <v>225</v>
      </c>
      <c r="M67" t="s">
        <v>189</v>
      </c>
    </row>
    <row r="68" spans="1:13" x14ac:dyDescent="0.25">
      <c r="A68" t="s">
        <v>1385</v>
      </c>
      <c r="B68" s="6">
        <v>46043</v>
      </c>
      <c r="C68" t="s">
        <v>127</v>
      </c>
      <c r="D68" t="s">
        <v>250</v>
      </c>
      <c r="E68" t="s">
        <v>240</v>
      </c>
      <c r="F68" s="18">
        <v>21839</v>
      </c>
      <c r="G68" t="s">
        <v>252</v>
      </c>
      <c r="H68" t="s">
        <v>260</v>
      </c>
      <c r="I68" t="s">
        <v>244</v>
      </c>
      <c r="J68" t="s">
        <v>1317</v>
      </c>
      <c r="K68" t="s">
        <v>206</v>
      </c>
      <c r="L68" t="s">
        <v>214</v>
      </c>
      <c r="M68" t="s">
        <v>178</v>
      </c>
    </row>
    <row r="69" spans="1:13" x14ac:dyDescent="0.25">
      <c r="A69" t="s">
        <v>525</v>
      </c>
      <c r="B69" s="6">
        <v>46043</v>
      </c>
      <c r="C69" t="s">
        <v>104</v>
      </c>
      <c r="D69" t="s">
        <v>327</v>
      </c>
      <c r="E69" t="s">
        <v>289</v>
      </c>
      <c r="F69" s="18">
        <v>769</v>
      </c>
      <c r="G69" t="s">
        <v>252</v>
      </c>
      <c r="H69" t="s">
        <v>260</v>
      </c>
      <c r="I69" t="s">
        <v>244</v>
      </c>
      <c r="J69" t="s">
        <v>1355</v>
      </c>
      <c r="K69" t="s">
        <v>203</v>
      </c>
      <c r="L69" t="s">
        <v>186</v>
      </c>
      <c r="M69" t="s">
        <v>189</v>
      </c>
    </row>
    <row r="70" spans="1:13" x14ac:dyDescent="0.25">
      <c r="A70" t="s">
        <v>1386</v>
      </c>
      <c r="B70" s="6">
        <v>46043</v>
      </c>
      <c r="C70" t="s">
        <v>101</v>
      </c>
      <c r="D70" t="s">
        <v>283</v>
      </c>
      <c r="E70" t="s">
        <v>240</v>
      </c>
      <c r="F70" s="18">
        <v>6484</v>
      </c>
      <c r="G70" t="s">
        <v>252</v>
      </c>
      <c r="H70" t="s">
        <v>260</v>
      </c>
      <c r="I70" t="s">
        <v>244</v>
      </c>
      <c r="J70" t="s">
        <v>1345</v>
      </c>
      <c r="K70" t="s">
        <v>203</v>
      </c>
      <c r="L70" t="s">
        <v>228</v>
      </c>
      <c r="M70" t="s">
        <v>178</v>
      </c>
    </row>
    <row r="71" spans="1:13" x14ac:dyDescent="0.25">
      <c r="A71" t="s">
        <v>1387</v>
      </c>
      <c r="B71" s="6">
        <v>46044</v>
      </c>
      <c r="C71" t="s">
        <v>127</v>
      </c>
      <c r="D71" t="s">
        <v>250</v>
      </c>
      <c r="E71" t="s">
        <v>289</v>
      </c>
      <c r="F71" s="18">
        <v>1799</v>
      </c>
      <c r="G71" t="s">
        <v>252</v>
      </c>
      <c r="H71" t="s">
        <v>243</v>
      </c>
      <c r="I71" t="s">
        <v>244</v>
      </c>
      <c r="J71" t="s">
        <v>1304</v>
      </c>
      <c r="K71" t="s">
        <v>177</v>
      </c>
      <c r="L71" t="s">
        <v>214</v>
      </c>
      <c r="M71" t="s">
        <v>178</v>
      </c>
    </row>
    <row r="72" spans="1:13" x14ac:dyDescent="0.25">
      <c r="A72" t="s">
        <v>1388</v>
      </c>
      <c r="B72" s="6">
        <v>46044</v>
      </c>
      <c r="C72" t="s">
        <v>117</v>
      </c>
      <c r="D72" t="s">
        <v>250</v>
      </c>
      <c r="E72" t="s">
        <v>289</v>
      </c>
      <c r="F72" s="18">
        <v>20052</v>
      </c>
      <c r="G72" t="s">
        <v>252</v>
      </c>
      <c r="H72" t="s">
        <v>243</v>
      </c>
      <c r="I72" t="s">
        <v>244</v>
      </c>
      <c r="J72" t="s">
        <v>1304</v>
      </c>
      <c r="K72" t="s">
        <v>177</v>
      </c>
      <c r="L72" t="s">
        <v>224</v>
      </c>
      <c r="M72" t="s">
        <v>178</v>
      </c>
    </row>
    <row r="73" spans="1:13" x14ac:dyDescent="0.25">
      <c r="A73" t="s">
        <v>538</v>
      </c>
      <c r="B73" s="6">
        <v>46044</v>
      </c>
      <c r="C73" t="s">
        <v>66</v>
      </c>
      <c r="D73" t="s">
        <v>272</v>
      </c>
      <c r="E73" t="s">
        <v>240</v>
      </c>
      <c r="F73" s="18">
        <v>3989</v>
      </c>
      <c r="G73" t="s">
        <v>252</v>
      </c>
      <c r="H73" t="s">
        <v>266</v>
      </c>
      <c r="I73" t="s">
        <v>267</v>
      </c>
      <c r="J73" t="s">
        <v>1329</v>
      </c>
      <c r="K73" t="s">
        <v>209</v>
      </c>
      <c r="L73" t="s">
        <v>192</v>
      </c>
      <c r="M73" t="s">
        <v>178</v>
      </c>
    </row>
    <row r="74" spans="1:13" x14ac:dyDescent="0.25">
      <c r="A74" t="s">
        <v>1389</v>
      </c>
      <c r="B74" s="6">
        <v>46044</v>
      </c>
      <c r="C74" t="s">
        <v>107</v>
      </c>
      <c r="D74" t="s">
        <v>250</v>
      </c>
      <c r="E74" t="s">
        <v>240</v>
      </c>
      <c r="F74" s="18">
        <v>4362</v>
      </c>
      <c r="G74" t="s">
        <v>252</v>
      </c>
      <c r="H74" t="s">
        <v>260</v>
      </c>
      <c r="I74" t="s">
        <v>244</v>
      </c>
      <c r="J74" t="s">
        <v>1317</v>
      </c>
      <c r="K74" t="s">
        <v>206</v>
      </c>
      <c r="L74" t="s">
        <v>201</v>
      </c>
      <c r="M74" t="s">
        <v>178</v>
      </c>
    </row>
    <row r="75" spans="1:13" x14ac:dyDescent="0.25">
      <c r="A75" t="s">
        <v>1390</v>
      </c>
      <c r="B75" s="6">
        <v>46044</v>
      </c>
      <c r="C75" t="s">
        <v>72</v>
      </c>
      <c r="D75" t="s">
        <v>258</v>
      </c>
      <c r="E75" t="s">
        <v>240</v>
      </c>
      <c r="F75" s="18">
        <v>5038</v>
      </c>
      <c r="G75" t="s">
        <v>252</v>
      </c>
      <c r="H75" t="s">
        <v>266</v>
      </c>
      <c r="I75" t="s">
        <v>267</v>
      </c>
      <c r="J75" t="s">
        <v>1326</v>
      </c>
      <c r="K75" t="s">
        <v>198</v>
      </c>
      <c r="L75" t="s">
        <v>204</v>
      </c>
      <c r="M75" t="s">
        <v>189</v>
      </c>
    </row>
    <row r="76" spans="1:13" x14ac:dyDescent="0.25">
      <c r="A76" t="s">
        <v>1391</v>
      </c>
      <c r="B76" s="6">
        <v>46045</v>
      </c>
      <c r="C76" t="s">
        <v>117</v>
      </c>
      <c r="D76" t="s">
        <v>250</v>
      </c>
      <c r="E76" t="s">
        <v>289</v>
      </c>
      <c r="F76" s="18">
        <v>1677</v>
      </c>
      <c r="G76" t="s">
        <v>252</v>
      </c>
      <c r="H76" t="s">
        <v>260</v>
      </c>
      <c r="I76" t="s">
        <v>244</v>
      </c>
      <c r="J76" t="s">
        <v>1317</v>
      </c>
      <c r="K76" t="s">
        <v>206</v>
      </c>
      <c r="L76" t="s">
        <v>224</v>
      </c>
      <c r="M76" t="s">
        <v>178</v>
      </c>
    </row>
    <row r="77" spans="1:13" x14ac:dyDescent="0.25">
      <c r="A77" t="s">
        <v>551</v>
      </c>
      <c r="B77" s="6">
        <v>46045</v>
      </c>
      <c r="C77" t="s">
        <v>129</v>
      </c>
      <c r="D77" t="s">
        <v>272</v>
      </c>
      <c r="E77" t="s">
        <v>240</v>
      </c>
      <c r="F77" s="18">
        <v>8019</v>
      </c>
      <c r="G77" t="s">
        <v>252</v>
      </c>
      <c r="H77" t="s">
        <v>243</v>
      </c>
      <c r="I77" t="s">
        <v>244</v>
      </c>
      <c r="J77" t="s">
        <v>1322</v>
      </c>
      <c r="K77" t="s">
        <v>1323</v>
      </c>
      <c r="L77" t="s">
        <v>217</v>
      </c>
      <c r="M77" t="s">
        <v>189</v>
      </c>
    </row>
    <row r="78" spans="1:13" x14ac:dyDescent="0.25">
      <c r="A78" t="s">
        <v>1392</v>
      </c>
      <c r="B78" s="6">
        <v>46047</v>
      </c>
      <c r="C78" t="s">
        <v>66</v>
      </c>
      <c r="D78" t="s">
        <v>272</v>
      </c>
      <c r="E78" t="s">
        <v>289</v>
      </c>
      <c r="F78" s="18">
        <v>14069</v>
      </c>
      <c r="G78" t="s">
        <v>252</v>
      </c>
      <c r="H78" t="s">
        <v>253</v>
      </c>
      <c r="I78" t="s">
        <v>244</v>
      </c>
      <c r="J78" t="s">
        <v>1348</v>
      </c>
      <c r="K78" t="s">
        <v>209</v>
      </c>
      <c r="L78" t="s">
        <v>192</v>
      </c>
      <c r="M78" t="s">
        <v>178</v>
      </c>
    </row>
    <row r="79" spans="1:13" x14ac:dyDescent="0.25">
      <c r="A79" t="s">
        <v>1393</v>
      </c>
      <c r="B79" s="6">
        <v>46048</v>
      </c>
      <c r="C79" t="s">
        <v>107</v>
      </c>
      <c r="D79" t="s">
        <v>250</v>
      </c>
      <c r="E79" t="s">
        <v>289</v>
      </c>
      <c r="F79" s="18">
        <v>8587</v>
      </c>
      <c r="G79" t="s">
        <v>252</v>
      </c>
      <c r="H79" t="s">
        <v>243</v>
      </c>
      <c r="I79" t="s">
        <v>244</v>
      </c>
      <c r="J79" t="s">
        <v>1304</v>
      </c>
      <c r="K79" t="s">
        <v>177</v>
      </c>
      <c r="L79" t="s">
        <v>201</v>
      </c>
      <c r="M79" t="s">
        <v>178</v>
      </c>
    </row>
    <row r="80" spans="1:13" x14ac:dyDescent="0.25">
      <c r="A80" t="s">
        <v>1394</v>
      </c>
      <c r="B80" s="6">
        <v>46048</v>
      </c>
      <c r="C80" t="s">
        <v>127</v>
      </c>
      <c r="D80" t="s">
        <v>250</v>
      </c>
      <c r="E80" t="s">
        <v>289</v>
      </c>
      <c r="F80" s="18">
        <v>1688</v>
      </c>
      <c r="G80" t="s">
        <v>252</v>
      </c>
      <c r="H80" t="s">
        <v>266</v>
      </c>
      <c r="I80" t="s">
        <v>267</v>
      </c>
      <c r="J80" t="s">
        <v>1312</v>
      </c>
      <c r="K80" t="s">
        <v>188</v>
      </c>
      <c r="L80" t="s">
        <v>214</v>
      </c>
      <c r="M80" t="s">
        <v>178</v>
      </c>
    </row>
    <row r="81" spans="1:13" x14ac:dyDescent="0.25">
      <c r="A81" t="s">
        <v>566</v>
      </c>
      <c r="B81" s="6">
        <v>46049</v>
      </c>
      <c r="C81" t="s">
        <v>91</v>
      </c>
      <c r="D81" t="s">
        <v>250</v>
      </c>
      <c r="E81" t="s">
        <v>289</v>
      </c>
      <c r="F81" s="18">
        <v>2398</v>
      </c>
      <c r="G81" t="s">
        <v>252</v>
      </c>
      <c r="H81" t="s">
        <v>266</v>
      </c>
      <c r="I81" t="s">
        <v>267</v>
      </c>
      <c r="J81" t="s">
        <v>1312</v>
      </c>
      <c r="K81" t="s">
        <v>188</v>
      </c>
      <c r="L81" t="s">
        <v>219</v>
      </c>
      <c r="M81" t="s">
        <v>178</v>
      </c>
    </row>
    <row r="82" spans="1:13" x14ac:dyDescent="0.25">
      <c r="A82" t="s">
        <v>1395</v>
      </c>
      <c r="B82" s="6">
        <v>46050</v>
      </c>
      <c r="C82" t="s">
        <v>129</v>
      </c>
      <c r="D82" t="s">
        <v>272</v>
      </c>
      <c r="E82" t="s">
        <v>240</v>
      </c>
      <c r="F82" s="18">
        <v>372</v>
      </c>
      <c r="G82" t="s">
        <v>252</v>
      </c>
      <c r="H82" t="s">
        <v>253</v>
      </c>
      <c r="I82" t="s">
        <v>244</v>
      </c>
      <c r="J82" t="s">
        <v>1348</v>
      </c>
      <c r="K82" t="s">
        <v>209</v>
      </c>
      <c r="L82" t="s">
        <v>217</v>
      </c>
      <c r="M82" t="s">
        <v>189</v>
      </c>
    </row>
    <row r="83" spans="1:13" x14ac:dyDescent="0.25">
      <c r="A83" t="s">
        <v>1396</v>
      </c>
      <c r="B83" s="6">
        <v>46051</v>
      </c>
      <c r="C83" t="s">
        <v>133</v>
      </c>
      <c r="D83" t="s">
        <v>283</v>
      </c>
      <c r="E83" t="s">
        <v>240</v>
      </c>
      <c r="F83" s="18">
        <v>17482</v>
      </c>
      <c r="G83" t="s">
        <v>252</v>
      </c>
      <c r="H83" t="s">
        <v>253</v>
      </c>
      <c r="I83" t="s">
        <v>244</v>
      </c>
      <c r="J83" t="s">
        <v>1320</v>
      </c>
      <c r="K83" t="s">
        <v>209</v>
      </c>
      <c r="L83" t="s">
        <v>223</v>
      </c>
      <c r="M83" t="s">
        <v>178</v>
      </c>
    </row>
    <row r="84" spans="1:13" x14ac:dyDescent="0.25">
      <c r="A84" t="s">
        <v>1397</v>
      </c>
      <c r="B84" s="6">
        <v>46051</v>
      </c>
      <c r="C84" t="s">
        <v>104</v>
      </c>
      <c r="D84" t="s">
        <v>327</v>
      </c>
      <c r="E84" t="s">
        <v>240</v>
      </c>
      <c r="F84" s="18">
        <v>9817</v>
      </c>
      <c r="G84" t="s">
        <v>252</v>
      </c>
      <c r="H84" t="s">
        <v>243</v>
      </c>
      <c r="I84" t="s">
        <v>244</v>
      </c>
      <c r="J84" t="s">
        <v>1337</v>
      </c>
      <c r="K84" t="s">
        <v>183</v>
      </c>
      <c r="L84" t="s">
        <v>186</v>
      </c>
      <c r="M84" t="s">
        <v>189</v>
      </c>
    </row>
    <row r="85" spans="1:13" x14ac:dyDescent="0.25">
      <c r="A85" t="s">
        <v>581</v>
      </c>
      <c r="B85" s="6">
        <v>46052</v>
      </c>
      <c r="C85" t="s">
        <v>72</v>
      </c>
      <c r="D85" t="s">
        <v>272</v>
      </c>
      <c r="E85" t="s">
        <v>240</v>
      </c>
      <c r="F85" s="18">
        <v>10000</v>
      </c>
      <c r="G85" t="s">
        <v>252</v>
      </c>
      <c r="H85" t="s">
        <v>243</v>
      </c>
      <c r="I85" t="s">
        <v>244</v>
      </c>
      <c r="J85" t="s">
        <v>1353</v>
      </c>
      <c r="K85" t="s">
        <v>183</v>
      </c>
      <c r="L85" t="s">
        <v>204</v>
      </c>
      <c r="M85" t="s">
        <v>189</v>
      </c>
    </row>
    <row r="86" spans="1:13" x14ac:dyDescent="0.25">
      <c r="A86" t="s">
        <v>1398</v>
      </c>
      <c r="B86" s="6">
        <v>46052</v>
      </c>
      <c r="C86" t="s">
        <v>121</v>
      </c>
      <c r="D86" t="s">
        <v>258</v>
      </c>
      <c r="E86" t="s">
        <v>240</v>
      </c>
      <c r="F86" s="18">
        <v>7048</v>
      </c>
      <c r="G86" t="s">
        <v>252</v>
      </c>
      <c r="H86" t="s">
        <v>243</v>
      </c>
      <c r="I86" t="s">
        <v>244</v>
      </c>
      <c r="J86" t="s">
        <v>1334</v>
      </c>
      <c r="K86" t="s">
        <v>177</v>
      </c>
      <c r="L86" t="s">
        <v>181</v>
      </c>
      <c r="M86" t="s">
        <v>178</v>
      </c>
    </row>
    <row r="87" spans="1:13" x14ac:dyDescent="0.25">
      <c r="A87" t="s">
        <v>1399</v>
      </c>
      <c r="B87" s="6">
        <v>46053</v>
      </c>
      <c r="C87" t="s">
        <v>125</v>
      </c>
      <c r="D87" t="s">
        <v>327</v>
      </c>
      <c r="E87" t="s">
        <v>240</v>
      </c>
      <c r="F87" s="18">
        <v>1417</v>
      </c>
      <c r="G87" t="s">
        <v>252</v>
      </c>
      <c r="H87" t="s">
        <v>243</v>
      </c>
      <c r="I87" t="s">
        <v>244</v>
      </c>
      <c r="J87" t="s">
        <v>1337</v>
      </c>
      <c r="K87" t="s">
        <v>183</v>
      </c>
      <c r="L87" t="s">
        <v>207</v>
      </c>
      <c r="M87" t="s">
        <v>178</v>
      </c>
    </row>
    <row r="88" spans="1:13" x14ac:dyDescent="0.25">
      <c r="A88" t="s">
        <v>1400</v>
      </c>
      <c r="B88" s="6">
        <v>46053</v>
      </c>
      <c r="C88" t="s">
        <v>127</v>
      </c>
      <c r="D88" t="s">
        <v>250</v>
      </c>
      <c r="E88" t="s">
        <v>240</v>
      </c>
      <c r="F88" s="18">
        <v>2184</v>
      </c>
      <c r="G88" t="s">
        <v>252</v>
      </c>
      <c r="H88" t="s">
        <v>266</v>
      </c>
      <c r="I88" t="s">
        <v>267</v>
      </c>
      <c r="J88" t="s">
        <v>1312</v>
      </c>
      <c r="K88" t="s">
        <v>188</v>
      </c>
      <c r="L88" t="s">
        <v>214</v>
      </c>
      <c r="M88" t="s">
        <v>178</v>
      </c>
    </row>
    <row r="89" spans="1:13" x14ac:dyDescent="0.25">
      <c r="A89" t="s">
        <v>598</v>
      </c>
      <c r="B89" s="6">
        <v>46054</v>
      </c>
      <c r="C89" t="s">
        <v>107</v>
      </c>
      <c r="D89" t="s">
        <v>250</v>
      </c>
      <c r="E89" t="s">
        <v>240</v>
      </c>
      <c r="F89" s="18">
        <v>1782</v>
      </c>
      <c r="G89" t="s">
        <v>252</v>
      </c>
      <c r="H89" t="s">
        <v>243</v>
      </c>
      <c r="I89" t="s">
        <v>244</v>
      </c>
      <c r="J89" t="s">
        <v>1304</v>
      </c>
      <c r="K89" t="s">
        <v>177</v>
      </c>
      <c r="L89" t="s">
        <v>201</v>
      </c>
      <c r="M89" t="s">
        <v>178</v>
      </c>
    </row>
    <row r="90" spans="1:13" x14ac:dyDescent="0.25">
      <c r="A90" t="s">
        <v>1401</v>
      </c>
      <c r="B90" s="6">
        <v>46054</v>
      </c>
      <c r="C90" t="s">
        <v>119</v>
      </c>
      <c r="D90" t="s">
        <v>272</v>
      </c>
      <c r="E90" t="s">
        <v>240</v>
      </c>
      <c r="F90" s="18">
        <v>1526</v>
      </c>
      <c r="G90" t="s">
        <v>252</v>
      </c>
      <c r="H90" t="s">
        <v>266</v>
      </c>
      <c r="I90" t="s">
        <v>267</v>
      </c>
      <c r="J90" t="s">
        <v>1329</v>
      </c>
      <c r="K90" t="s">
        <v>209</v>
      </c>
      <c r="L90" t="s">
        <v>227</v>
      </c>
      <c r="M90" t="s">
        <v>199</v>
      </c>
    </row>
    <row r="91" spans="1:13" x14ac:dyDescent="0.25">
      <c r="A91" t="s">
        <v>1402</v>
      </c>
      <c r="B91" s="6">
        <v>46054</v>
      </c>
      <c r="C91" t="s">
        <v>119</v>
      </c>
      <c r="D91" t="s">
        <v>272</v>
      </c>
      <c r="E91" t="s">
        <v>240</v>
      </c>
      <c r="F91" s="18">
        <v>7096</v>
      </c>
      <c r="G91" t="s">
        <v>252</v>
      </c>
      <c r="H91" t="s">
        <v>260</v>
      </c>
      <c r="I91" t="s">
        <v>244</v>
      </c>
      <c r="J91" t="s">
        <v>1314</v>
      </c>
      <c r="K91" t="s">
        <v>198</v>
      </c>
      <c r="L91" t="s">
        <v>227</v>
      </c>
      <c r="M91" t="s">
        <v>199</v>
      </c>
    </row>
    <row r="92" spans="1:13" x14ac:dyDescent="0.25">
      <c r="A92" t="s">
        <v>1403</v>
      </c>
      <c r="B92" s="6">
        <v>46054</v>
      </c>
      <c r="C92" t="s">
        <v>78</v>
      </c>
      <c r="D92" t="s">
        <v>283</v>
      </c>
      <c r="E92" t="s">
        <v>240</v>
      </c>
      <c r="F92" s="18">
        <v>3376</v>
      </c>
      <c r="G92" t="s">
        <v>252</v>
      </c>
      <c r="H92" t="s">
        <v>266</v>
      </c>
      <c r="I92" t="s">
        <v>267</v>
      </c>
      <c r="J92" t="s">
        <v>1342</v>
      </c>
      <c r="K92" t="s">
        <v>1343</v>
      </c>
      <c r="L92" t="s">
        <v>212</v>
      </c>
      <c r="M92" t="s">
        <v>189</v>
      </c>
    </row>
    <row r="93" spans="1:13" x14ac:dyDescent="0.25">
      <c r="A93" t="s">
        <v>613</v>
      </c>
      <c r="B93" s="6">
        <v>46054</v>
      </c>
      <c r="C93" t="s">
        <v>135</v>
      </c>
      <c r="D93" t="s">
        <v>327</v>
      </c>
      <c r="E93" t="s">
        <v>289</v>
      </c>
      <c r="F93" s="18">
        <v>14336</v>
      </c>
      <c r="G93" t="s">
        <v>252</v>
      </c>
      <c r="H93" t="s">
        <v>260</v>
      </c>
      <c r="I93" t="s">
        <v>244</v>
      </c>
      <c r="J93" t="s">
        <v>1355</v>
      </c>
      <c r="K93" t="s">
        <v>203</v>
      </c>
      <c r="L93" t="s">
        <v>226</v>
      </c>
      <c r="M93" t="s">
        <v>178</v>
      </c>
    </row>
    <row r="94" spans="1:13" x14ac:dyDescent="0.25">
      <c r="A94" t="s">
        <v>1404</v>
      </c>
      <c r="B94" s="6">
        <v>46054</v>
      </c>
      <c r="C94" t="s">
        <v>125</v>
      </c>
      <c r="D94" t="s">
        <v>327</v>
      </c>
      <c r="E94" t="s">
        <v>240</v>
      </c>
      <c r="F94" s="18">
        <v>2229</v>
      </c>
      <c r="G94" t="s">
        <v>252</v>
      </c>
      <c r="H94" t="s">
        <v>260</v>
      </c>
      <c r="I94" t="s">
        <v>244</v>
      </c>
      <c r="J94" t="s">
        <v>1355</v>
      </c>
      <c r="K94" t="s">
        <v>203</v>
      </c>
      <c r="L94" t="s">
        <v>207</v>
      </c>
      <c r="M94" t="s">
        <v>178</v>
      </c>
    </row>
    <row r="95" spans="1:13" x14ac:dyDescent="0.25">
      <c r="A95" t="s">
        <v>1405</v>
      </c>
      <c r="B95" s="6">
        <v>46054</v>
      </c>
      <c r="C95" t="s">
        <v>127</v>
      </c>
      <c r="D95" t="s">
        <v>250</v>
      </c>
      <c r="E95" t="s">
        <v>240</v>
      </c>
      <c r="F95" s="18">
        <v>3885</v>
      </c>
      <c r="G95" t="s">
        <v>252</v>
      </c>
      <c r="H95" t="s">
        <v>253</v>
      </c>
      <c r="I95" t="s">
        <v>244</v>
      </c>
      <c r="J95" t="s">
        <v>1307</v>
      </c>
      <c r="K95" t="s">
        <v>209</v>
      </c>
      <c r="L95" t="s">
        <v>214</v>
      </c>
      <c r="M95" t="s">
        <v>178</v>
      </c>
    </row>
    <row r="96" spans="1:13" x14ac:dyDescent="0.25">
      <c r="A96" t="s">
        <v>1406</v>
      </c>
      <c r="B96" s="6">
        <v>46055</v>
      </c>
      <c r="C96" t="s">
        <v>66</v>
      </c>
      <c r="D96" t="s">
        <v>272</v>
      </c>
      <c r="E96" t="s">
        <v>240</v>
      </c>
      <c r="F96" s="18">
        <v>19661</v>
      </c>
      <c r="G96" t="s">
        <v>252</v>
      </c>
      <c r="H96" t="s">
        <v>253</v>
      </c>
      <c r="I96" t="s">
        <v>244</v>
      </c>
      <c r="J96" t="s">
        <v>1348</v>
      </c>
      <c r="K96" t="s">
        <v>209</v>
      </c>
      <c r="L96" t="s">
        <v>192</v>
      </c>
      <c r="M96" t="s">
        <v>178</v>
      </c>
    </row>
    <row r="97" spans="1:13" x14ac:dyDescent="0.25">
      <c r="A97" t="s">
        <v>624</v>
      </c>
      <c r="B97" s="6">
        <v>46055</v>
      </c>
      <c r="C97" t="s">
        <v>121</v>
      </c>
      <c r="D97" t="s">
        <v>258</v>
      </c>
      <c r="E97" t="s">
        <v>240</v>
      </c>
      <c r="F97" s="18">
        <v>22677</v>
      </c>
      <c r="G97" t="s">
        <v>252</v>
      </c>
      <c r="H97" t="s">
        <v>266</v>
      </c>
      <c r="I97" t="s">
        <v>267</v>
      </c>
      <c r="J97" t="s">
        <v>1326</v>
      </c>
      <c r="K97" t="s">
        <v>198</v>
      </c>
      <c r="L97" t="s">
        <v>181</v>
      </c>
      <c r="M97" t="s">
        <v>178</v>
      </c>
    </row>
    <row r="98" spans="1:13" x14ac:dyDescent="0.25">
      <c r="A98" t="s">
        <v>1407</v>
      </c>
      <c r="B98" s="6">
        <v>46055</v>
      </c>
      <c r="C98" t="s">
        <v>113</v>
      </c>
      <c r="D98" t="s">
        <v>283</v>
      </c>
      <c r="E98" t="s">
        <v>289</v>
      </c>
      <c r="F98" s="18">
        <v>955</v>
      </c>
      <c r="G98" t="s">
        <v>252</v>
      </c>
      <c r="H98" t="s">
        <v>260</v>
      </c>
      <c r="I98" t="s">
        <v>244</v>
      </c>
      <c r="J98" t="s">
        <v>1345</v>
      </c>
      <c r="K98" t="s">
        <v>203</v>
      </c>
      <c r="L98" t="s">
        <v>218</v>
      </c>
      <c r="M98" t="s">
        <v>178</v>
      </c>
    </row>
    <row r="99" spans="1:13" x14ac:dyDescent="0.25">
      <c r="A99" t="s">
        <v>1408</v>
      </c>
      <c r="B99" s="6">
        <v>46056</v>
      </c>
      <c r="C99" t="s">
        <v>147</v>
      </c>
      <c r="D99" t="s">
        <v>272</v>
      </c>
      <c r="E99" t="s">
        <v>289</v>
      </c>
      <c r="F99" s="18">
        <v>495</v>
      </c>
      <c r="G99" t="s">
        <v>252</v>
      </c>
      <c r="H99" t="s">
        <v>266</v>
      </c>
      <c r="I99" t="s">
        <v>267</v>
      </c>
      <c r="J99" t="s">
        <v>1329</v>
      </c>
      <c r="K99" t="s">
        <v>209</v>
      </c>
      <c r="L99" t="s">
        <v>210</v>
      </c>
      <c r="M99" t="s">
        <v>178</v>
      </c>
    </row>
    <row r="100" spans="1:13" x14ac:dyDescent="0.25">
      <c r="A100" t="s">
        <v>1409</v>
      </c>
      <c r="B100" s="6">
        <v>46056</v>
      </c>
      <c r="C100" t="s">
        <v>131</v>
      </c>
      <c r="D100" t="s">
        <v>258</v>
      </c>
      <c r="E100" t="s">
        <v>240</v>
      </c>
      <c r="F100" s="18">
        <v>16306</v>
      </c>
      <c r="G100" t="s">
        <v>252</v>
      </c>
      <c r="H100" t="s">
        <v>260</v>
      </c>
      <c r="I100" t="s">
        <v>244</v>
      </c>
      <c r="J100" t="s">
        <v>1310</v>
      </c>
      <c r="K100" t="s">
        <v>188</v>
      </c>
      <c r="L100" t="s">
        <v>220</v>
      </c>
      <c r="M100" t="s">
        <v>199</v>
      </c>
    </row>
    <row r="101" spans="1:13" x14ac:dyDescent="0.25">
      <c r="A101" t="s">
        <v>640</v>
      </c>
      <c r="B101" s="6">
        <v>46056</v>
      </c>
      <c r="C101" t="s">
        <v>104</v>
      </c>
      <c r="D101" t="s">
        <v>327</v>
      </c>
      <c r="E101" t="s">
        <v>289</v>
      </c>
      <c r="F101" s="18">
        <v>1402</v>
      </c>
      <c r="G101" t="s">
        <v>252</v>
      </c>
      <c r="H101" t="s">
        <v>243</v>
      </c>
      <c r="I101" t="s">
        <v>244</v>
      </c>
      <c r="J101" t="s">
        <v>1337</v>
      </c>
      <c r="K101" t="s">
        <v>183</v>
      </c>
      <c r="L101" t="s">
        <v>186</v>
      </c>
      <c r="M101" t="s">
        <v>189</v>
      </c>
    </row>
    <row r="102" spans="1:13" x14ac:dyDescent="0.25">
      <c r="A102" t="s">
        <v>1410</v>
      </c>
      <c r="B102" s="6">
        <v>46056</v>
      </c>
      <c r="C102" t="s">
        <v>72</v>
      </c>
      <c r="D102" t="s">
        <v>272</v>
      </c>
      <c r="E102" t="s">
        <v>240</v>
      </c>
      <c r="F102" s="18">
        <v>9400</v>
      </c>
      <c r="G102" t="s">
        <v>252</v>
      </c>
      <c r="H102" t="s">
        <v>243</v>
      </c>
      <c r="I102" t="s">
        <v>244</v>
      </c>
      <c r="J102" t="s">
        <v>1342</v>
      </c>
      <c r="K102" t="s">
        <v>1343</v>
      </c>
      <c r="L102" t="s">
        <v>204</v>
      </c>
      <c r="M102" t="s">
        <v>189</v>
      </c>
    </row>
    <row r="103" spans="1:13" x14ac:dyDescent="0.25">
      <c r="A103" t="s">
        <v>1411</v>
      </c>
      <c r="B103" s="6">
        <v>46056</v>
      </c>
      <c r="C103" t="s">
        <v>84</v>
      </c>
      <c r="D103" t="s">
        <v>327</v>
      </c>
      <c r="E103" t="s">
        <v>289</v>
      </c>
      <c r="F103" s="18">
        <v>800</v>
      </c>
      <c r="G103" t="s">
        <v>252</v>
      </c>
      <c r="H103" t="s">
        <v>260</v>
      </c>
      <c r="I103" t="s">
        <v>244</v>
      </c>
      <c r="J103" t="s">
        <v>1355</v>
      </c>
      <c r="K103" t="s">
        <v>203</v>
      </c>
      <c r="L103" t="s">
        <v>216</v>
      </c>
      <c r="M103" t="s">
        <v>178</v>
      </c>
    </row>
    <row r="104" spans="1:13" x14ac:dyDescent="0.25">
      <c r="A104" t="s">
        <v>1412</v>
      </c>
      <c r="B104" s="6">
        <v>46056</v>
      </c>
      <c r="C104" t="s">
        <v>84</v>
      </c>
      <c r="D104" t="s">
        <v>327</v>
      </c>
      <c r="E104" t="s">
        <v>289</v>
      </c>
      <c r="F104" s="18">
        <v>9479</v>
      </c>
      <c r="G104" t="s">
        <v>252</v>
      </c>
      <c r="H104" t="s">
        <v>253</v>
      </c>
      <c r="I104" t="s">
        <v>244</v>
      </c>
      <c r="J104" t="s">
        <v>1363</v>
      </c>
      <c r="K104" t="s">
        <v>209</v>
      </c>
      <c r="L104" t="s">
        <v>216</v>
      </c>
      <c r="M104" t="s">
        <v>178</v>
      </c>
    </row>
    <row r="105" spans="1:13" x14ac:dyDescent="0.25">
      <c r="A105" t="s">
        <v>653</v>
      </c>
      <c r="B105" s="6">
        <v>46057</v>
      </c>
      <c r="C105" t="s">
        <v>117</v>
      </c>
      <c r="D105" t="s">
        <v>250</v>
      </c>
      <c r="E105" t="s">
        <v>240</v>
      </c>
      <c r="F105" s="18">
        <v>6713</v>
      </c>
      <c r="G105" t="s">
        <v>252</v>
      </c>
      <c r="H105" t="s">
        <v>243</v>
      </c>
      <c r="I105" t="s">
        <v>244</v>
      </c>
      <c r="J105" t="s">
        <v>1304</v>
      </c>
      <c r="K105" t="s">
        <v>177</v>
      </c>
      <c r="L105" t="s">
        <v>224</v>
      </c>
      <c r="M105" t="s">
        <v>178</v>
      </c>
    </row>
    <row r="106" spans="1:13" x14ac:dyDescent="0.25">
      <c r="A106" t="s">
        <v>1413</v>
      </c>
      <c r="B106" s="6">
        <v>46057</v>
      </c>
      <c r="C106" t="s">
        <v>117</v>
      </c>
      <c r="D106" t="s">
        <v>250</v>
      </c>
      <c r="E106" t="s">
        <v>240</v>
      </c>
      <c r="F106" s="18">
        <v>8366</v>
      </c>
      <c r="G106" t="s">
        <v>252</v>
      </c>
      <c r="H106" t="s">
        <v>243</v>
      </c>
      <c r="I106" t="s">
        <v>244</v>
      </c>
      <c r="J106" t="s">
        <v>1304</v>
      </c>
      <c r="K106" t="s">
        <v>177</v>
      </c>
      <c r="L106" t="s">
        <v>224</v>
      </c>
      <c r="M106" t="s">
        <v>178</v>
      </c>
    </row>
    <row r="107" spans="1:13" x14ac:dyDescent="0.25">
      <c r="A107" t="s">
        <v>1414</v>
      </c>
      <c r="B107" s="6">
        <v>46057</v>
      </c>
      <c r="C107" t="s">
        <v>119</v>
      </c>
      <c r="D107" t="s">
        <v>272</v>
      </c>
      <c r="E107" t="s">
        <v>240</v>
      </c>
      <c r="F107" s="18">
        <v>1114</v>
      </c>
      <c r="G107" t="s">
        <v>252</v>
      </c>
      <c r="H107" t="s">
        <v>266</v>
      </c>
      <c r="I107" t="s">
        <v>267</v>
      </c>
      <c r="J107" t="s">
        <v>1329</v>
      </c>
      <c r="K107" t="s">
        <v>209</v>
      </c>
      <c r="L107" t="s">
        <v>227</v>
      </c>
      <c r="M107" t="s">
        <v>199</v>
      </c>
    </row>
    <row r="108" spans="1:13" x14ac:dyDescent="0.25">
      <c r="A108" t="s">
        <v>1415</v>
      </c>
      <c r="B108" s="6">
        <v>46057</v>
      </c>
      <c r="C108" t="s">
        <v>72</v>
      </c>
      <c r="D108" t="s">
        <v>258</v>
      </c>
      <c r="E108" t="s">
        <v>240</v>
      </c>
      <c r="F108" s="18">
        <v>4012</v>
      </c>
      <c r="G108" t="s">
        <v>252</v>
      </c>
      <c r="H108" t="s">
        <v>253</v>
      </c>
      <c r="I108" t="s">
        <v>244</v>
      </c>
      <c r="J108" t="s">
        <v>1378</v>
      </c>
      <c r="K108" t="s">
        <v>194</v>
      </c>
      <c r="L108" t="s">
        <v>204</v>
      </c>
      <c r="M108" t="s">
        <v>189</v>
      </c>
    </row>
    <row r="109" spans="1:13" x14ac:dyDescent="0.25">
      <c r="A109" t="s">
        <v>667</v>
      </c>
      <c r="B109" s="6">
        <v>46057</v>
      </c>
      <c r="C109" t="s">
        <v>98</v>
      </c>
      <c r="D109" t="s">
        <v>258</v>
      </c>
      <c r="E109" t="s">
        <v>289</v>
      </c>
      <c r="F109" s="18">
        <v>16529</v>
      </c>
      <c r="G109" t="s">
        <v>252</v>
      </c>
      <c r="H109" t="s">
        <v>253</v>
      </c>
      <c r="I109" t="s">
        <v>244</v>
      </c>
      <c r="J109" t="s">
        <v>1378</v>
      </c>
      <c r="K109" t="s">
        <v>194</v>
      </c>
      <c r="L109" t="s">
        <v>225</v>
      </c>
      <c r="M109" t="s">
        <v>189</v>
      </c>
    </row>
    <row r="110" spans="1:13" x14ac:dyDescent="0.25">
      <c r="A110" t="s">
        <v>1416</v>
      </c>
      <c r="B110" s="6">
        <v>46057</v>
      </c>
      <c r="C110" t="s">
        <v>115</v>
      </c>
      <c r="D110" t="s">
        <v>327</v>
      </c>
      <c r="E110" t="s">
        <v>240</v>
      </c>
      <c r="F110" s="18">
        <v>2221</v>
      </c>
      <c r="G110" t="s">
        <v>252</v>
      </c>
      <c r="H110" t="s">
        <v>266</v>
      </c>
      <c r="I110" t="s">
        <v>267</v>
      </c>
      <c r="J110" t="s">
        <v>1341</v>
      </c>
      <c r="K110" t="s">
        <v>194</v>
      </c>
      <c r="L110" t="s">
        <v>221</v>
      </c>
      <c r="M110" t="s">
        <v>178</v>
      </c>
    </row>
    <row r="111" spans="1:13" x14ac:dyDescent="0.25">
      <c r="A111" t="s">
        <v>1417</v>
      </c>
      <c r="B111" s="6">
        <v>46057</v>
      </c>
      <c r="C111" t="s">
        <v>111</v>
      </c>
      <c r="D111" t="s">
        <v>258</v>
      </c>
      <c r="E111" t="s">
        <v>240</v>
      </c>
      <c r="F111" s="18">
        <v>488</v>
      </c>
      <c r="G111" t="s">
        <v>252</v>
      </c>
      <c r="H111" t="s">
        <v>243</v>
      </c>
      <c r="I111" t="s">
        <v>244</v>
      </c>
      <c r="J111" t="s">
        <v>1334</v>
      </c>
      <c r="K111" t="s">
        <v>177</v>
      </c>
      <c r="L111" t="s">
        <v>215</v>
      </c>
      <c r="M111" t="s">
        <v>199</v>
      </c>
    </row>
    <row r="112" spans="1:13" x14ac:dyDescent="0.25">
      <c r="A112" t="s">
        <v>1418</v>
      </c>
      <c r="B112" s="6">
        <v>46057</v>
      </c>
      <c r="C112" t="s">
        <v>125</v>
      </c>
      <c r="D112" t="s">
        <v>327</v>
      </c>
      <c r="E112" t="s">
        <v>289</v>
      </c>
      <c r="F112" s="18">
        <v>2219</v>
      </c>
      <c r="G112" t="s">
        <v>252</v>
      </c>
      <c r="H112" t="s">
        <v>253</v>
      </c>
      <c r="I112" t="s">
        <v>244</v>
      </c>
      <c r="J112" t="s">
        <v>1363</v>
      </c>
      <c r="K112" t="s">
        <v>209</v>
      </c>
      <c r="L112" t="s">
        <v>207</v>
      </c>
      <c r="M112" t="s">
        <v>178</v>
      </c>
    </row>
    <row r="113" spans="1:13" x14ac:dyDescent="0.25">
      <c r="A113" t="s">
        <v>679</v>
      </c>
      <c r="B113" s="6">
        <v>46058</v>
      </c>
      <c r="C113" t="s">
        <v>91</v>
      </c>
      <c r="D113" t="s">
        <v>250</v>
      </c>
      <c r="E113" t="s">
        <v>289</v>
      </c>
      <c r="F113" s="18">
        <v>82</v>
      </c>
      <c r="G113" t="s">
        <v>252</v>
      </c>
      <c r="H113" t="s">
        <v>243</v>
      </c>
      <c r="I113" t="s">
        <v>244</v>
      </c>
      <c r="J113" t="s">
        <v>1304</v>
      </c>
      <c r="K113" t="s">
        <v>177</v>
      </c>
      <c r="L113" t="s">
        <v>219</v>
      </c>
      <c r="M113" t="s">
        <v>178</v>
      </c>
    </row>
    <row r="114" spans="1:13" x14ac:dyDescent="0.25">
      <c r="A114" t="s">
        <v>1419</v>
      </c>
      <c r="B114" s="6">
        <v>46058</v>
      </c>
      <c r="C114" t="s">
        <v>147</v>
      </c>
      <c r="D114" t="s">
        <v>272</v>
      </c>
      <c r="E114" t="s">
        <v>240</v>
      </c>
      <c r="F114" s="18">
        <v>533</v>
      </c>
      <c r="G114" t="s">
        <v>252</v>
      </c>
      <c r="H114" t="s">
        <v>243</v>
      </c>
      <c r="I114" t="s">
        <v>244</v>
      </c>
      <c r="J114" t="s">
        <v>1322</v>
      </c>
      <c r="K114" t="s">
        <v>1323</v>
      </c>
      <c r="L114" t="s">
        <v>210</v>
      </c>
      <c r="M114" t="s">
        <v>178</v>
      </c>
    </row>
    <row r="115" spans="1:13" x14ac:dyDescent="0.25">
      <c r="A115" t="s">
        <v>1420</v>
      </c>
      <c r="B115" s="6">
        <v>46058</v>
      </c>
      <c r="C115" t="s">
        <v>98</v>
      </c>
      <c r="D115" t="s">
        <v>258</v>
      </c>
      <c r="E115" t="s">
        <v>289</v>
      </c>
      <c r="F115" s="18">
        <v>1296</v>
      </c>
      <c r="G115" t="s">
        <v>252</v>
      </c>
      <c r="H115" t="s">
        <v>266</v>
      </c>
      <c r="I115" t="s">
        <v>267</v>
      </c>
      <c r="J115" t="s">
        <v>1326</v>
      </c>
      <c r="K115" t="s">
        <v>198</v>
      </c>
      <c r="L115" t="s">
        <v>225</v>
      </c>
      <c r="M115" t="s">
        <v>189</v>
      </c>
    </row>
    <row r="116" spans="1:13" x14ac:dyDescent="0.25">
      <c r="A116" t="s">
        <v>1421</v>
      </c>
      <c r="B116" s="6">
        <v>46058</v>
      </c>
      <c r="C116" t="s">
        <v>115</v>
      </c>
      <c r="D116" t="s">
        <v>327</v>
      </c>
      <c r="E116" t="s">
        <v>240</v>
      </c>
      <c r="F116" s="18">
        <v>16125</v>
      </c>
      <c r="G116" t="s">
        <v>252</v>
      </c>
      <c r="H116" t="s">
        <v>253</v>
      </c>
      <c r="I116" t="s">
        <v>244</v>
      </c>
      <c r="J116" t="s">
        <v>1363</v>
      </c>
      <c r="K116" t="s">
        <v>209</v>
      </c>
      <c r="L116" t="s">
        <v>221</v>
      </c>
      <c r="M116" t="s">
        <v>178</v>
      </c>
    </row>
    <row r="117" spans="1:13" x14ac:dyDescent="0.25">
      <c r="A117" t="s">
        <v>690</v>
      </c>
      <c r="B117" s="6">
        <v>46059</v>
      </c>
      <c r="C117" t="s">
        <v>119</v>
      </c>
      <c r="D117" t="s">
        <v>272</v>
      </c>
      <c r="E117" t="s">
        <v>289</v>
      </c>
      <c r="F117" s="18">
        <v>3071</v>
      </c>
      <c r="G117" t="s">
        <v>252</v>
      </c>
      <c r="H117" t="s">
        <v>260</v>
      </c>
      <c r="I117" t="s">
        <v>244</v>
      </c>
      <c r="J117" t="s">
        <v>1314</v>
      </c>
      <c r="K117" t="s">
        <v>198</v>
      </c>
      <c r="L117" t="s">
        <v>227</v>
      </c>
      <c r="M117" t="s">
        <v>199</v>
      </c>
    </row>
    <row r="118" spans="1:13" x14ac:dyDescent="0.25">
      <c r="A118" t="s">
        <v>1422</v>
      </c>
      <c r="B118" s="6">
        <v>46059</v>
      </c>
      <c r="C118" t="s">
        <v>72</v>
      </c>
      <c r="D118" t="s">
        <v>272</v>
      </c>
      <c r="E118" t="s">
        <v>240</v>
      </c>
      <c r="F118" s="18">
        <v>9650</v>
      </c>
      <c r="G118" t="s">
        <v>252</v>
      </c>
      <c r="H118" t="s">
        <v>243</v>
      </c>
      <c r="I118" t="s">
        <v>244</v>
      </c>
      <c r="J118" t="s">
        <v>1342</v>
      </c>
      <c r="K118" t="s">
        <v>1343</v>
      </c>
      <c r="L118" t="s">
        <v>204</v>
      </c>
      <c r="M118" t="s">
        <v>189</v>
      </c>
    </row>
    <row r="119" spans="1:13" x14ac:dyDescent="0.25">
      <c r="A119" t="s">
        <v>1423</v>
      </c>
      <c r="B119" s="6">
        <v>46060</v>
      </c>
      <c r="C119" t="s">
        <v>107</v>
      </c>
      <c r="D119" t="s">
        <v>250</v>
      </c>
      <c r="E119" t="s">
        <v>289</v>
      </c>
      <c r="F119" s="18">
        <v>2372</v>
      </c>
      <c r="G119" t="s">
        <v>252</v>
      </c>
      <c r="H119" t="s">
        <v>260</v>
      </c>
      <c r="I119" t="s">
        <v>244</v>
      </c>
      <c r="J119" t="s">
        <v>1317</v>
      </c>
      <c r="K119" t="s">
        <v>206</v>
      </c>
      <c r="L119" t="s">
        <v>201</v>
      </c>
      <c r="M119" t="s">
        <v>178</v>
      </c>
    </row>
    <row r="120" spans="1:13" x14ac:dyDescent="0.25">
      <c r="A120" t="s">
        <v>1424</v>
      </c>
      <c r="B120" s="6">
        <v>46060</v>
      </c>
      <c r="C120" t="s">
        <v>104</v>
      </c>
      <c r="D120" t="s">
        <v>327</v>
      </c>
      <c r="E120" t="s">
        <v>240</v>
      </c>
      <c r="F120" s="18">
        <v>13414</v>
      </c>
      <c r="G120" t="s">
        <v>252</v>
      </c>
      <c r="H120" t="s">
        <v>260</v>
      </c>
      <c r="I120" t="s">
        <v>244</v>
      </c>
      <c r="J120" t="s">
        <v>1355</v>
      </c>
      <c r="K120" t="s">
        <v>203</v>
      </c>
      <c r="L120" t="s">
        <v>186</v>
      </c>
      <c r="M120" t="s">
        <v>189</v>
      </c>
    </row>
    <row r="121" spans="1:13" x14ac:dyDescent="0.25">
      <c r="A121" t="s">
        <v>705</v>
      </c>
      <c r="B121" s="6">
        <v>46060</v>
      </c>
      <c r="C121" t="s">
        <v>133</v>
      </c>
      <c r="D121" t="s">
        <v>283</v>
      </c>
      <c r="E121" t="s">
        <v>289</v>
      </c>
      <c r="F121" s="18">
        <v>5642</v>
      </c>
      <c r="G121" t="s">
        <v>252</v>
      </c>
      <c r="H121" t="s">
        <v>260</v>
      </c>
      <c r="I121" t="s">
        <v>244</v>
      </c>
      <c r="J121" t="s">
        <v>1345</v>
      </c>
      <c r="K121" t="s">
        <v>203</v>
      </c>
      <c r="L121" t="s">
        <v>223</v>
      </c>
      <c r="M121" t="s">
        <v>178</v>
      </c>
    </row>
    <row r="122" spans="1:13" x14ac:dyDescent="0.25">
      <c r="A122" t="s">
        <v>1425</v>
      </c>
      <c r="B122" s="6">
        <v>46061</v>
      </c>
      <c r="C122" t="s">
        <v>78</v>
      </c>
      <c r="D122" t="s">
        <v>283</v>
      </c>
      <c r="E122" t="s">
        <v>240</v>
      </c>
      <c r="F122" s="18">
        <v>2767</v>
      </c>
      <c r="G122" t="s">
        <v>252</v>
      </c>
      <c r="H122" t="s">
        <v>243</v>
      </c>
      <c r="I122" t="s">
        <v>244</v>
      </c>
      <c r="J122" t="s">
        <v>1353</v>
      </c>
      <c r="K122" t="s">
        <v>183</v>
      </c>
      <c r="L122" t="s">
        <v>212</v>
      </c>
      <c r="M122" t="s">
        <v>189</v>
      </c>
    </row>
    <row r="123" spans="1:13" x14ac:dyDescent="0.25">
      <c r="A123" t="s">
        <v>1426</v>
      </c>
      <c r="B123" s="6">
        <v>46061</v>
      </c>
      <c r="C123" t="s">
        <v>147</v>
      </c>
      <c r="D123" t="s">
        <v>272</v>
      </c>
      <c r="E123" t="s">
        <v>240</v>
      </c>
      <c r="F123" s="18">
        <v>26750</v>
      </c>
      <c r="G123" t="s">
        <v>252</v>
      </c>
      <c r="H123" t="s">
        <v>243</v>
      </c>
      <c r="I123" t="s">
        <v>244</v>
      </c>
      <c r="J123" t="s">
        <v>1334</v>
      </c>
      <c r="K123" t="s">
        <v>177</v>
      </c>
      <c r="L123" t="s">
        <v>210</v>
      </c>
      <c r="M123" t="s">
        <v>178</v>
      </c>
    </row>
    <row r="124" spans="1:13" x14ac:dyDescent="0.25">
      <c r="A124" t="s">
        <v>1427</v>
      </c>
      <c r="B124" s="6">
        <v>46061</v>
      </c>
      <c r="C124" t="s">
        <v>98</v>
      </c>
      <c r="D124" t="s">
        <v>258</v>
      </c>
      <c r="E124" t="s">
        <v>240</v>
      </c>
      <c r="F124" s="18">
        <v>7318</v>
      </c>
      <c r="G124" t="s">
        <v>252</v>
      </c>
      <c r="H124" t="s">
        <v>266</v>
      </c>
      <c r="I124" t="s">
        <v>267</v>
      </c>
      <c r="J124" t="s">
        <v>1326</v>
      </c>
      <c r="K124" t="s">
        <v>198</v>
      </c>
      <c r="L124" t="s">
        <v>225</v>
      </c>
      <c r="M124" t="s">
        <v>189</v>
      </c>
    </row>
    <row r="125" spans="1:13" x14ac:dyDescent="0.25">
      <c r="A125" t="s">
        <v>720</v>
      </c>
      <c r="B125" s="6">
        <v>46061</v>
      </c>
      <c r="C125" t="s">
        <v>104</v>
      </c>
      <c r="D125" t="s">
        <v>327</v>
      </c>
      <c r="E125" t="s">
        <v>240</v>
      </c>
      <c r="F125" s="18">
        <v>9040</v>
      </c>
      <c r="G125" t="s">
        <v>252</v>
      </c>
      <c r="H125" t="s">
        <v>253</v>
      </c>
      <c r="I125" t="s">
        <v>244</v>
      </c>
      <c r="J125" t="s">
        <v>1363</v>
      </c>
      <c r="K125" t="s">
        <v>209</v>
      </c>
      <c r="L125" t="s">
        <v>186</v>
      </c>
      <c r="M125" t="s">
        <v>189</v>
      </c>
    </row>
    <row r="126" spans="1:13" x14ac:dyDescent="0.25">
      <c r="A126" t="s">
        <v>1428</v>
      </c>
      <c r="B126" s="6">
        <v>46062</v>
      </c>
      <c r="C126" t="s">
        <v>117</v>
      </c>
      <c r="D126" t="s">
        <v>250</v>
      </c>
      <c r="E126" t="s">
        <v>240</v>
      </c>
      <c r="F126" s="18">
        <v>5408</v>
      </c>
      <c r="G126" t="s">
        <v>252</v>
      </c>
      <c r="H126" t="s">
        <v>260</v>
      </c>
      <c r="I126" t="s">
        <v>244</v>
      </c>
      <c r="J126" t="s">
        <v>1317</v>
      </c>
      <c r="K126" t="s">
        <v>206</v>
      </c>
      <c r="L126" t="s">
        <v>224</v>
      </c>
      <c r="M126" t="s">
        <v>178</v>
      </c>
    </row>
    <row r="127" spans="1:13" x14ac:dyDescent="0.25">
      <c r="A127" t="s">
        <v>1429</v>
      </c>
      <c r="B127" s="6">
        <v>46062</v>
      </c>
      <c r="C127" t="s">
        <v>72</v>
      </c>
      <c r="D127" t="s">
        <v>272</v>
      </c>
      <c r="E127" t="s">
        <v>240</v>
      </c>
      <c r="F127" s="18">
        <v>9800</v>
      </c>
      <c r="G127" t="s">
        <v>252</v>
      </c>
      <c r="H127" t="s">
        <v>243</v>
      </c>
      <c r="I127" t="s">
        <v>244</v>
      </c>
      <c r="J127" t="s">
        <v>1342</v>
      </c>
      <c r="K127" t="s">
        <v>1343</v>
      </c>
      <c r="L127" t="s">
        <v>204</v>
      </c>
      <c r="M127" t="s">
        <v>189</v>
      </c>
    </row>
    <row r="128" spans="1:13" x14ac:dyDescent="0.25">
      <c r="A128" t="s">
        <v>1430</v>
      </c>
      <c r="B128" s="6">
        <v>46062</v>
      </c>
      <c r="C128" t="s">
        <v>135</v>
      </c>
      <c r="D128" t="s">
        <v>327</v>
      </c>
      <c r="E128" t="s">
        <v>240</v>
      </c>
      <c r="F128" s="18">
        <v>1633</v>
      </c>
      <c r="G128" t="s">
        <v>252</v>
      </c>
      <c r="H128" t="s">
        <v>260</v>
      </c>
      <c r="I128" t="s">
        <v>244</v>
      </c>
      <c r="J128" t="s">
        <v>1355</v>
      </c>
      <c r="K128" t="s">
        <v>203</v>
      </c>
      <c r="L128" t="s">
        <v>226</v>
      </c>
      <c r="M128" t="s">
        <v>178</v>
      </c>
    </row>
    <row r="129" spans="1:13" x14ac:dyDescent="0.25">
      <c r="A129" t="s">
        <v>735</v>
      </c>
      <c r="B129" s="6">
        <v>46062</v>
      </c>
      <c r="C129" t="s">
        <v>117</v>
      </c>
      <c r="D129" t="s">
        <v>250</v>
      </c>
      <c r="E129" t="s">
        <v>289</v>
      </c>
      <c r="F129" s="18">
        <v>5861</v>
      </c>
      <c r="G129" t="s">
        <v>252</v>
      </c>
      <c r="H129" t="s">
        <v>253</v>
      </c>
      <c r="I129" t="s">
        <v>244</v>
      </c>
      <c r="J129" t="s">
        <v>1307</v>
      </c>
      <c r="K129" t="s">
        <v>209</v>
      </c>
      <c r="L129" t="s">
        <v>224</v>
      </c>
      <c r="M129" t="s">
        <v>178</v>
      </c>
    </row>
    <row r="130" spans="1:13" x14ac:dyDescent="0.25">
      <c r="A130" t="s">
        <v>1431</v>
      </c>
      <c r="B130" s="6">
        <v>46063</v>
      </c>
      <c r="C130" t="s">
        <v>125</v>
      </c>
      <c r="D130" t="s">
        <v>327</v>
      </c>
      <c r="E130" t="s">
        <v>240</v>
      </c>
      <c r="F130" s="18">
        <v>5128</v>
      </c>
      <c r="G130" t="s">
        <v>252</v>
      </c>
      <c r="H130" t="s">
        <v>266</v>
      </c>
      <c r="I130" t="s">
        <v>267</v>
      </c>
      <c r="J130" t="s">
        <v>1341</v>
      </c>
      <c r="K130" t="s">
        <v>194</v>
      </c>
      <c r="L130" t="s">
        <v>207</v>
      </c>
      <c r="M130" t="s">
        <v>178</v>
      </c>
    </row>
    <row r="131" spans="1:13" x14ac:dyDescent="0.25">
      <c r="A131" t="s">
        <v>1432</v>
      </c>
      <c r="B131" s="6">
        <v>46063</v>
      </c>
      <c r="C131" t="s">
        <v>147</v>
      </c>
      <c r="D131" t="s">
        <v>272</v>
      </c>
      <c r="E131" t="s">
        <v>240</v>
      </c>
      <c r="F131" s="18">
        <v>17854</v>
      </c>
      <c r="G131" t="s">
        <v>252</v>
      </c>
      <c r="H131" t="s">
        <v>253</v>
      </c>
      <c r="I131" t="s">
        <v>244</v>
      </c>
      <c r="J131" t="s">
        <v>1348</v>
      </c>
      <c r="K131" t="s">
        <v>209</v>
      </c>
      <c r="L131" t="s">
        <v>210</v>
      </c>
      <c r="M131" t="s">
        <v>178</v>
      </c>
    </row>
    <row r="132" spans="1:13" x14ac:dyDescent="0.25">
      <c r="A132" t="s">
        <v>1433</v>
      </c>
      <c r="B132" s="6">
        <v>46063</v>
      </c>
      <c r="C132" t="s">
        <v>123</v>
      </c>
      <c r="D132" t="s">
        <v>283</v>
      </c>
      <c r="E132" t="s">
        <v>289</v>
      </c>
      <c r="F132" s="18">
        <v>1531</v>
      </c>
      <c r="G132" t="s">
        <v>252</v>
      </c>
      <c r="H132" t="s">
        <v>266</v>
      </c>
      <c r="I132" t="s">
        <v>267</v>
      </c>
      <c r="J132" t="s">
        <v>1342</v>
      </c>
      <c r="K132" t="s">
        <v>1343</v>
      </c>
      <c r="L132" t="s">
        <v>196</v>
      </c>
      <c r="M132" t="s">
        <v>199</v>
      </c>
    </row>
    <row r="133" spans="1:13" x14ac:dyDescent="0.25">
      <c r="A133" t="s">
        <v>750</v>
      </c>
      <c r="B133" s="6">
        <v>46064</v>
      </c>
      <c r="C133" t="s">
        <v>111</v>
      </c>
      <c r="D133" t="s">
        <v>258</v>
      </c>
      <c r="E133" t="s">
        <v>240</v>
      </c>
      <c r="F133" s="18">
        <v>2083</v>
      </c>
      <c r="G133" t="s">
        <v>252</v>
      </c>
      <c r="H133" t="s">
        <v>253</v>
      </c>
      <c r="I133" t="s">
        <v>244</v>
      </c>
      <c r="J133" t="s">
        <v>1378</v>
      </c>
      <c r="K133" t="s">
        <v>194</v>
      </c>
      <c r="L133" t="s">
        <v>215</v>
      </c>
      <c r="M133" t="s">
        <v>199</v>
      </c>
    </row>
    <row r="134" spans="1:13" x14ac:dyDescent="0.25">
      <c r="A134" t="s">
        <v>1434</v>
      </c>
      <c r="B134" s="6">
        <v>46064</v>
      </c>
      <c r="C134" t="s">
        <v>84</v>
      </c>
      <c r="D134" t="s">
        <v>327</v>
      </c>
      <c r="E134" t="s">
        <v>240</v>
      </c>
      <c r="F134" s="18">
        <v>1627</v>
      </c>
      <c r="G134" t="s">
        <v>252</v>
      </c>
      <c r="H134" t="s">
        <v>266</v>
      </c>
      <c r="I134" t="s">
        <v>267</v>
      </c>
      <c r="J134" t="s">
        <v>1341</v>
      </c>
      <c r="K134" t="s">
        <v>194</v>
      </c>
      <c r="L134" t="s">
        <v>216</v>
      </c>
      <c r="M134" t="s">
        <v>178</v>
      </c>
    </row>
    <row r="135" spans="1:13" x14ac:dyDescent="0.25">
      <c r="A135" t="s">
        <v>1435</v>
      </c>
      <c r="B135" s="6">
        <v>46064</v>
      </c>
      <c r="C135" t="s">
        <v>125</v>
      </c>
      <c r="D135" t="s">
        <v>327</v>
      </c>
      <c r="E135" t="s">
        <v>289</v>
      </c>
      <c r="F135" s="18">
        <v>448</v>
      </c>
      <c r="G135" t="s">
        <v>252</v>
      </c>
      <c r="H135" t="s">
        <v>260</v>
      </c>
      <c r="I135" t="s">
        <v>244</v>
      </c>
      <c r="J135" t="s">
        <v>1355</v>
      </c>
      <c r="K135" t="s">
        <v>203</v>
      </c>
      <c r="L135" t="s">
        <v>207</v>
      </c>
      <c r="M135" t="s">
        <v>178</v>
      </c>
    </row>
    <row r="136" spans="1:13" x14ac:dyDescent="0.25">
      <c r="A136" t="s">
        <v>1436</v>
      </c>
      <c r="B136" s="6">
        <v>46065</v>
      </c>
      <c r="C136" t="s">
        <v>72</v>
      </c>
      <c r="D136" t="s">
        <v>272</v>
      </c>
      <c r="E136" t="s">
        <v>240</v>
      </c>
      <c r="F136" s="18">
        <v>9550</v>
      </c>
      <c r="G136" t="s">
        <v>252</v>
      </c>
      <c r="H136" t="s">
        <v>243</v>
      </c>
      <c r="I136" t="s">
        <v>244</v>
      </c>
      <c r="J136" t="s">
        <v>1342</v>
      </c>
      <c r="K136" t="s">
        <v>1343</v>
      </c>
      <c r="L136" t="s">
        <v>204</v>
      </c>
      <c r="M136" t="s">
        <v>189</v>
      </c>
    </row>
    <row r="137" spans="1:13" x14ac:dyDescent="0.25">
      <c r="A137" t="s">
        <v>765</v>
      </c>
      <c r="B137" s="6">
        <v>46065</v>
      </c>
      <c r="C137" t="s">
        <v>72</v>
      </c>
      <c r="D137" t="s">
        <v>258</v>
      </c>
      <c r="E137" t="s">
        <v>240</v>
      </c>
      <c r="F137" s="18">
        <v>4516</v>
      </c>
      <c r="G137" t="s">
        <v>252</v>
      </c>
      <c r="H137" t="s">
        <v>266</v>
      </c>
      <c r="I137" t="s">
        <v>267</v>
      </c>
      <c r="J137" t="s">
        <v>1326</v>
      </c>
      <c r="K137" t="s">
        <v>198</v>
      </c>
      <c r="L137" t="s">
        <v>204</v>
      </c>
      <c r="M137" t="s">
        <v>189</v>
      </c>
    </row>
    <row r="138" spans="1:13" x14ac:dyDescent="0.25">
      <c r="A138" t="s">
        <v>1437</v>
      </c>
      <c r="B138" s="6">
        <v>46066</v>
      </c>
      <c r="C138" t="s">
        <v>131</v>
      </c>
      <c r="D138" t="s">
        <v>258</v>
      </c>
      <c r="E138" t="s">
        <v>240</v>
      </c>
      <c r="F138" s="18">
        <v>18575</v>
      </c>
      <c r="G138" t="s">
        <v>252</v>
      </c>
      <c r="H138" t="s">
        <v>253</v>
      </c>
      <c r="I138" t="s">
        <v>244</v>
      </c>
      <c r="J138" t="s">
        <v>1378</v>
      </c>
      <c r="K138" t="s">
        <v>194</v>
      </c>
      <c r="L138" t="s">
        <v>220</v>
      </c>
      <c r="M138" t="s">
        <v>199</v>
      </c>
    </row>
    <row r="139" spans="1:13" x14ac:dyDescent="0.25">
      <c r="A139" t="s">
        <v>1438</v>
      </c>
      <c r="B139" s="6">
        <v>46066</v>
      </c>
      <c r="C139" t="s">
        <v>59</v>
      </c>
      <c r="D139" t="s">
        <v>250</v>
      </c>
      <c r="E139" t="s">
        <v>240</v>
      </c>
      <c r="F139" s="18">
        <v>8706</v>
      </c>
      <c r="G139" t="s">
        <v>252</v>
      </c>
      <c r="H139" t="s">
        <v>253</v>
      </c>
      <c r="I139" t="s">
        <v>244</v>
      </c>
      <c r="J139" t="s">
        <v>1307</v>
      </c>
      <c r="K139" t="s">
        <v>209</v>
      </c>
      <c r="L139" t="s">
        <v>175</v>
      </c>
      <c r="M139" t="s">
        <v>178</v>
      </c>
    </row>
    <row r="140" spans="1:13" x14ac:dyDescent="0.25">
      <c r="A140" t="s">
        <v>1439</v>
      </c>
      <c r="B140" s="6">
        <v>46066</v>
      </c>
      <c r="C140" t="s">
        <v>147</v>
      </c>
      <c r="D140" t="s">
        <v>272</v>
      </c>
      <c r="E140" t="s">
        <v>240</v>
      </c>
      <c r="F140" s="18">
        <v>3511</v>
      </c>
      <c r="G140" t="s">
        <v>252</v>
      </c>
      <c r="H140" t="s">
        <v>243</v>
      </c>
      <c r="I140" t="s">
        <v>244</v>
      </c>
      <c r="J140" t="s">
        <v>1322</v>
      </c>
      <c r="K140" t="s">
        <v>1323</v>
      </c>
      <c r="L140" t="s">
        <v>210</v>
      </c>
      <c r="M140" t="s">
        <v>178</v>
      </c>
    </row>
    <row r="141" spans="1:13" x14ac:dyDescent="0.25">
      <c r="A141" t="s">
        <v>778</v>
      </c>
      <c r="B141" s="6">
        <v>46067</v>
      </c>
      <c r="C141" t="s">
        <v>131</v>
      </c>
      <c r="D141" t="s">
        <v>258</v>
      </c>
      <c r="E141" t="s">
        <v>240</v>
      </c>
      <c r="F141" s="18">
        <v>19115</v>
      </c>
      <c r="G141" t="s">
        <v>252</v>
      </c>
      <c r="H141" t="s">
        <v>260</v>
      </c>
      <c r="I141" t="s">
        <v>244</v>
      </c>
      <c r="J141" t="s">
        <v>1310</v>
      </c>
      <c r="K141" t="s">
        <v>188</v>
      </c>
      <c r="L141" t="s">
        <v>220</v>
      </c>
      <c r="M141" t="s">
        <v>199</v>
      </c>
    </row>
    <row r="142" spans="1:13" x14ac:dyDescent="0.25">
      <c r="A142" t="s">
        <v>1440</v>
      </c>
      <c r="B142" s="6">
        <v>46067</v>
      </c>
      <c r="C142" t="s">
        <v>123</v>
      </c>
      <c r="D142" t="s">
        <v>283</v>
      </c>
      <c r="E142" t="s">
        <v>289</v>
      </c>
      <c r="F142" s="18">
        <v>1412</v>
      </c>
      <c r="G142" t="s">
        <v>252</v>
      </c>
      <c r="H142" t="s">
        <v>243</v>
      </c>
      <c r="I142" t="s">
        <v>244</v>
      </c>
      <c r="J142" t="s">
        <v>1353</v>
      </c>
      <c r="K142" t="s">
        <v>183</v>
      </c>
      <c r="L142" t="s">
        <v>196</v>
      </c>
      <c r="M142" t="s">
        <v>199</v>
      </c>
    </row>
    <row r="143" spans="1:13" x14ac:dyDescent="0.25">
      <c r="A143" t="s">
        <v>1441</v>
      </c>
      <c r="B143" s="6">
        <v>46067</v>
      </c>
      <c r="C143" t="s">
        <v>101</v>
      </c>
      <c r="D143" t="s">
        <v>283</v>
      </c>
      <c r="E143" t="s">
        <v>289</v>
      </c>
      <c r="F143" s="18">
        <v>621</v>
      </c>
      <c r="G143" t="s">
        <v>252</v>
      </c>
      <c r="H143" t="s">
        <v>260</v>
      </c>
      <c r="I143" t="s">
        <v>244</v>
      </c>
      <c r="J143" t="s">
        <v>1345</v>
      </c>
      <c r="K143" t="s">
        <v>203</v>
      </c>
      <c r="L143" t="s">
        <v>228</v>
      </c>
      <c r="M143" t="s">
        <v>178</v>
      </c>
    </row>
    <row r="144" spans="1:13" x14ac:dyDescent="0.25">
      <c r="A144" t="s">
        <v>1442</v>
      </c>
      <c r="B144" s="6">
        <v>46068</v>
      </c>
      <c r="C144" t="s">
        <v>121</v>
      </c>
      <c r="D144" t="s">
        <v>258</v>
      </c>
      <c r="E144" t="s">
        <v>240</v>
      </c>
      <c r="F144" s="18">
        <v>565</v>
      </c>
      <c r="G144" t="s">
        <v>252</v>
      </c>
      <c r="H144" t="s">
        <v>253</v>
      </c>
      <c r="I144" t="s">
        <v>244</v>
      </c>
      <c r="J144" t="s">
        <v>1378</v>
      </c>
      <c r="K144" t="s">
        <v>194</v>
      </c>
      <c r="L144" t="s">
        <v>181</v>
      </c>
      <c r="M144" t="s">
        <v>178</v>
      </c>
    </row>
    <row r="145" spans="1:13" x14ac:dyDescent="0.25">
      <c r="A145" t="s">
        <v>793</v>
      </c>
      <c r="B145" s="6">
        <v>46068</v>
      </c>
      <c r="C145" t="s">
        <v>119</v>
      </c>
      <c r="D145" t="s">
        <v>272</v>
      </c>
      <c r="E145" t="s">
        <v>289</v>
      </c>
      <c r="F145" s="18">
        <v>2214</v>
      </c>
      <c r="G145" t="s">
        <v>252</v>
      </c>
      <c r="H145" t="s">
        <v>253</v>
      </c>
      <c r="I145" t="s">
        <v>244</v>
      </c>
      <c r="J145" t="s">
        <v>1348</v>
      </c>
      <c r="K145" t="s">
        <v>209</v>
      </c>
      <c r="L145" t="s">
        <v>227</v>
      </c>
      <c r="M145" t="s">
        <v>199</v>
      </c>
    </row>
    <row r="146" spans="1:13" x14ac:dyDescent="0.25">
      <c r="A146" t="s">
        <v>1443</v>
      </c>
      <c r="B146" s="6">
        <v>46068</v>
      </c>
      <c r="C146" t="s">
        <v>72</v>
      </c>
      <c r="D146" t="s">
        <v>272</v>
      </c>
      <c r="E146" t="s">
        <v>240</v>
      </c>
      <c r="F146" s="18">
        <v>9750</v>
      </c>
      <c r="G146" t="s">
        <v>252</v>
      </c>
      <c r="H146" t="s">
        <v>243</v>
      </c>
      <c r="I146" t="s">
        <v>244</v>
      </c>
      <c r="J146" t="s">
        <v>1342</v>
      </c>
      <c r="K146" t="s">
        <v>1343</v>
      </c>
      <c r="L146" t="s">
        <v>204</v>
      </c>
      <c r="M146" t="s">
        <v>189</v>
      </c>
    </row>
    <row r="147" spans="1:13" x14ac:dyDescent="0.25">
      <c r="A147" t="s">
        <v>1444</v>
      </c>
      <c r="B147" s="6">
        <v>46068</v>
      </c>
      <c r="C147" t="s">
        <v>125</v>
      </c>
      <c r="D147" t="s">
        <v>327</v>
      </c>
      <c r="E147" t="s">
        <v>240</v>
      </c>
      <c r="F147" s="18">
        <v>2425</v>
      </c>
      <c r="G147" t="s">
        <v>252</v>
      </c>
      <c r="H147" t="s">
        <v>260</v>
      </c>
      <c r="I147" t="s">
        <v>244</v>
      </c>
      <c r="J147" t="s">
        <v>1355</v>
      </c>
      <c r="K147" t="s">
        <v>203</v>
      </c>
      <c r="L147" t="s">
        <v>207</v>
      </c>
      <c r="M147" t="s">
        <v>178</v>
      </c>
    </row>
    <row r="148" spans="1:13" x14ac:dyDescent="0.25">
      <c r="A148" t="s">
        <v>1445</v>
      </c>
      <c r="B148" s="6">
        <v>46068</v>
      </c>
      <c r="C148" t="s">
        <v>91</v>
      </c>
      <c r="D148" t="s">
        <v>250</v>
      </c>
      <c r="E148" t="s">
        <v>289</v>
      </c>
      <c r="F148" s="18">
        <v>18042</v>
      </c>
      <c r="G148" t="s">
        <v>252</v>
      </c>
      <c r="H148" t="s">
        <v>253</v>
      </c>
      <c r="I148" t="s">
        <v>244</v>
      </c>
      <c r="J148" t="s">
        <v>1307</v>
      </c>
      <c r="K148" t="s">
        <v>209</v>
      </c>
      <c r="L148" t="s">
        <v>219</v>
      </c>
      <c r="M148" t="s">
        <v>178</v>
      </c>
    </row>
    <row r="149" spans="1:13" x14ac:dyDescent="0.25">
      <c r="A149" t="s">
        <v>807</v>
      </c>
      <c r="B149" s="6">
        <v>46068</v>
      </c>
      <c r="C149" t="s">
        <v>95</v>
      </c>
      <c r="D149" t="s">
        <v>272</v>
      </c>
      <c r="E149" t="s">
        <v>240</v>
      </c>
      <c r="F149" s="18">
        <v>2060</v>
      </c>
      <c r="G149" t="s">
        <v>252</v>
      </c>
      <c r="H149" t="s">
        <v>243</v>
      </c>
      <c r="I149" t="s">
        <v>244</v>
      </c>
      <c r="J149" t="s">
        <v>1322</v>
      </c>
      <c r="K149" t="s">
        <v>1323</v>
      </c>
      <c r="L149" t="s">
        <v>222</v>
      </c>
      <c r="M149" t="s">
        <v>189</v>
      </c>
    </row>
    <row r="150" spans="1:13" x14ac:dyDescent="0.25">
      <c r="A150" t="s">
        <v>1446</v>
      </c>
      <c r="B150" s="6">
        <v>46070</v>
      </c>
      <c r="C150" t="s">
        <v>127</v>
      </c>
      <c r="D150" t="s">
        <v>272</v>
      </c>
      <c r="E150" t="s">
        <v>240</v>
      </c>
      <c r="F150" s="18">
        <v>11200</v>
      </c>
      <c r="G150" t="s">
        <v>252</v>
      </c>
      <c r="H150" t="s">
        <v>243</v>
      </c>
      <c r="I150" t="s">
        <v>244</v>
      </c>
      <c r="J150" t="s">
        <v>1322</v>
      </c>
      <c r="K150" t="s">
        <v>1323</v>
      </c>
      <c r="L150" t="s">
        <v>214</v>
      </c>
      <c r="M150" t="s">
        <v>178</v>
      </c>
    </row>
    <row r="151" spans="1:13" x14ac:dyDescent="0.25">
      <c r="A151" t="s">
        <v>1447</v>
      </c>
      <c r="B151" s="6">
        <v>46070</v>
      </c>
      <c r="C151" t="s">
        <v>111</v>
      </c>
      <c r="D151" t="s">
        <v>258</v>
      </c>
      <c r="E151" t="s">
        <v>240</v>
      </c>
      <c r="F151" s="18">
        <v>456</v>
      </c>
      <c r="G151" t="s">
        <v>252</v>
      </c>
      <c r="H151" t="s">
        <v>266</v>
      </c>
      <c r="I151" t="s">
        <v>267</v>
      </c>
      <c r="J151" t="s">
        <v>1326</v>
      </c>
      <c r="K151" t="s">
        <v>198</v>
      </c>
      <c r="L151" t="s">
        <v>215</v>
      </c>
      <c r="M151" t="s">
        <v>199</v>
      </c>
    </row>
    <row r="152" spans="1:13" x14ac:dyDescent="0.25">
      <c r="A152" t="s">
        <v>1448</v>
      </c>
      <c r="B152" s="6">
        <v>46071</v>
      </c>
      <c r="C152" t="s">
        <v>72</v>
      </c>
      <c r="D152" t="s">
        <v>258</v>
      </c>
      <c r="E152" t="s">
        <v>289</v>
      </c>
      <c r="F152" s="18">
        <v>1616</v>
      </c>
      <c r="G152" t="s">
        <v>252</v>
      </c>
      <c r="H152" t="s">
        <v>243</v>
      </c>
      <c r="I152" t="s">
        <v>244</v>
      </c>
      <c r="J152" t="s">
        <v>1334</v>
      </c>
      <c r="K152" t="s">
        <v>177</v>
      </c>
      <c r="L152" t="s">
        <v>204</v>
      </c>
      <c r="M152" t="s">
        <v>189</v>
      </c>
    </row>
    <row r="153" spans="1:13" x14ac:dyDescent="0.25">
      <c r="A153" t="s">
        <v>819</v>
      </c>
      <c r="B153" s="6">
        <v>46071</v>
      </c>
      <c r="C153" t="s">
        <v>131</v>
      </c>
      <c r="D153" t="s">
        <v>258</v>
      </c>
      <c r="E153" t="s">
        <v>240</v>
      </c>
      <c r="F153" s="18">
        <v>2351</v>
      </c>
      <c r="G153" t="s">
        <v>252</v>
      </c>
      <c r="H153" t="s">
        <v>243</v>
      </c>
      <c r="I153" t="s">
        <v>244</v>
      </c>
      <c r="J153" t="s">
        <v>1334</v>
      </c>
      <c r="K153" t="s">
        <v>177</v>
      </c>
      <c r="L153" t="s">
        <v>220</v>
      </c>
      <c r="M153" t="s">
        <v>199</v>
      </c>
    </row>
    <row r="154" spans="1:13" x14ac:dyDescent="0.25">
      <c r="A154" t="s">
        <v>1449</v>
      </c>
      <c r="B154" s="6">
        <v>46071</v>
      </c>
      <c r="C154" t="s">
        <v>72</v>
      </c>
      <c r="D154" t="s">
        <v>272</v>
      </c>
      <c r="E154" t="s">
        <v>240</v>
      </c>
      <c r="F154" s="18">
        <v>9900</v>
      </c>
      <c r="G154" t="s">
        <v>252</v>
      </c>
      <c r="H154" t="s">
        <v>243</v>
      </c>
      <c r="I154" t="s">
        <v>244</v>
      </c>
      <c r="J154" t="s">
        <v>1342</v>
      </c>
      <c r="K154" t="s">
        <v>1343</v>
      </c>
      <c r="L154" t="s">
        <v>204</v>
      </c>
      <c r="M154" t="s">
        <v>189</v>
      </c>
    </row>
    <row r="155" spans="1:13" x14ac:dyDescent="0.25">
      <c r="A155" t="s">
        <v>1450</v>
      </c>
      <c r="B155" s="6">
        <v>46072</v>
      </c>
      <c r="C155" t="s">
        <v>59</v>
      </c>
      <c r="D155" t="s">
        <v>250</v>
      </c>
      <c r="E155" t="s">
        <v>289</v>
      </c>
      <c r="F155" s="18">
        <v>18833</v>
      </c>
      <c r="G155" t="s">
        <v>252</v>
      </c>
      <c r="H155" t="s">
        <v>266</v>
      </c>
      <c r="I155" t="s">
        <v>267</v>
      </c>
      <c r="J155" t="s">
        <v>1312</v>
      </c>
      <c r="K155" t="s">
        <v>188</v>
      </c>
      <c r="L155" t="s">
        <v>175</v>
      </c>
      <c r="M155" t="s">
        <v>178</v>
      </c>
    </row>
    <row r="156" spans="1:13" x14ac:dyDescent="0.25">
      <c r="A156" t="s">
        <v>1451</v>
      </c>
      <c r="B156" s="6">
        <v>46072</v>
      </c>
      <c r="C156" t="s">
        <v>78</v>
      </c>
      <c r="D156" t="s">
        <v>283</v>
      </c>
      <c r="E156" t="s">
        <v>240</v>
      </c>
      <c r="F156" s="18">
        <v>8108</v>
      </c>
      <c r="G156" t="s">
        <v>252</v>
      </c>
      <c r="H156" t="s">
        <v>260</v>
      </c>
      <c r="I156" t="s">
        <v>244</v>
      </c>
      <c r="J156" t="s">
        <v>1345</v>
      </c>
      <c r="K156" t="s">
        <v>203</v>
      </c>
      <c r="L156" t="s">
        <v>212</v>
      </c>
      <c r="M156" t="s">
        <v>189</v>
      </c>
    </row>
    <row r="157" spans="1:13" x14ac:dyDescent="0.25">
      <c r="A157" t="s">
        <v>833</v>
      </c>
      <c r="B157" s="6">
        <v>46073</v>
      </c>
      <c r="C157" t="s">
        <v>147</v>
      </c>
      <c r="D157" t="s">
        <v>272</v>
      </c>
      <c r="E157" t="s">
        <v>289</v>
      </c>
      <c r="F157" s="18">
        <v>903</v>
      </c>
      <c r="G157" t="s">
        <v>252</v>
      </c>
      <c r="H157" t="s">
        <v>253</v>
      </c>
      <c r="I157" t="s">
        <v>244</v>
      </c>
      <c r="J157" t="s">
        <v>1348</v>
      </c>
      <c r="K157" t="s">
        <v>209</v>
      </c>
      <c r="L157" t="s">
        <v>210</v>
      </c>
      <c r="M157" t="s">
        <v>178</v>
      </c>
    </row>
    <row r="158" spans="1:13" x14ac:dyDescent="0.25">
      <c r="A158" t="s">
        <v>1452</v>
      </c>
      <c r="B158" s="6">
        <v>46073</v>
      </c>
      <c r="C158" t="s">
        <v>101</v>
      </c>
      <c r="D158" t="s">
        <v>283</v>
      </c>
      <c r="E158" t="s">
        <v>289</v>
      </c>
      <c r="F158" s="18">
        <v>2442</v>
      </c>
      <c r="G158" t="s">
        <v>252</v>
      </c>
      <c r="H158" t="s">
        <v>266</v>
      </c>
      <c r="I158" t="s">
        <v>267</v>
      </c>
      <c r="J158" t="s">
        <v>1342</v>
      </c>
      <c r="K158" t="s">
        <v>1343</v>
      </c>
      <c r="L158" t="s">
        <v>228</v>
      </c>
      <c r="M158" t="s">
        <v>178</v>
      </c>
    </row>
    <row r="159" spans="1:13" x14ac:dyDescent="0.25">
      <c r="A159" t="s">
        <v>1453</v>
      </c>
      <c r="B159" s="6">
        <v>46073</v>
      </c>
      <c r="C159" t="s">
        <v>133</v>
      </c>
      <c r="D159" t="s">
        <v>283</v>
      </c>
      <c r="E159" t="s">
        <v>289</v>
      </c>
      <c r="F159" s="18">
        <v>1174</v>
      </c>
      <c r="G159" t="s">
        <v>252</v>
      </c>
      <c r="H159" t="s">
        <v>266</v>
      </c>
      <c r="I159" t="s">
        <v>267</v>
      </c>
      <c r="J159" t="s">
        <v>1342</v>
      </c>
      <c r="K159" t="s">
        <v>1343</v>
      </c>
      <c r="L159" t="s">
        <v>223</v>
      </c>
      <c r="M159" t="s">
        <v>178</v>
      </c>
    </row>
    <row r="160" spans="1:13" x14ac:dyDescent="0.25">
      <c r="A160" t="s">
        <v>1454</v>
      </c>
      <c r="B160" s="6">
        <v>46073</v>
      </c>
      <c r="C160" t="s">
        <v>107</v>
      </c>
      <c r="D160" t="s">
        <v>250</v>
      </c>
      <c r="E160" t="s">
        <v>240</v>
      </c>
      <c r="F160" s="18">
        <v>1078</v>
      </c>
      <c r="G160" t="s">
        <v>252</v>
      </c>
      <c r="H160" t="s">
        <v>253</v>
      </c>
      <c r="I160" t="s">
        <v>244</v>
      </c>
      <c r="J160" t="s">
        <v>1307</v>
      </c>
      <c r="K160" t="s">
        <v>209</v>
      </c>
      <c r="L160" t="s">
        <v>201</v>
      </c>
      <c r="M160" t="s">
        <v>178</v>
      </c>
    </row>
    <row r="161" spans="1:13" x14ac:dyDescent="0.25">
      <c r="A161" t="s">
        <v>846</v>
      </c>
      <c r="B161" s="6">
        <v>46073</v>
      </c>
      <c r="C161" t="s">
        <v>59</v>
      </c>
      <c r="D161" t="s">
        <v>250</v>
      </c>
      <c r="E161" t="s">
        <v>240</v>
      </c>
      <c r="F161" s="18">
        <v>1366</v>
      </c>
      <c r="G161" t="s">
        <v>252</v>
      </c>
      <c r="H161" t="s">
        <v>253</v>
      </c>
      <c r="I161" t="s">
        <v>244</v>
      </c>
      <c r="J161" t="s">
        <v>1307</v>
      </c>
      <c r="K161" t="s">
        <v>209</v>
      </c>
      <c r="L161" t="s">
        <v>175</v>
      </c>
      <c r="M161" t="s">
        <v>178</v>
      </c>
    </row>
    <row r="162" spans="1:13" x14ac:dyDescent="0.25">
      <c r="A162" t="s">
        <v>1455</v>
      </c>
      <c r="B162" s="6">
        <v>46074</v>
      </c>
      <c r="C162" t="s">
        <v>66</v>
      </c>
      <c r="D162" t="s">
        <v>272</v>
      </c>
      <c r="E162" t="s">
        <v>289</v>
      </c>
      <c r="F162" s="18">
        <v>7756</v>
      </c>
      <c r="G162" t="s">
        <v>252</v>
      </c>
      <c r="H162" t="s">
        <v>266</v>
      </c>
      <c r="I162" t="s">
        <v>267</v>
      </c>
      <c r="J162" t="s">
        <v>1329</v>
      </c>
      <c r="K162" t="s">
        <v>209</v>
      </c>
      <c r="L162" t="s">
        <v>192</v>
      </c>
      <c r="M162" t="s">
        <v>178</v>
      </c>
    </row>
    <row r="163" spans="1:13" x14ac:dyDescent="0.25">
      <c r="A163" t="s">
        <v>1456</v>
      </c>
      <c r="B163" s="6">
        <v>46074</v>
      </c>
      <c r="C163" t="s">
        <v>133</v>
      </c>
      <c r="D163" t="s">
        <v>283</v>
      </c>
      <c r="E163" t="s">
        <v>289</v>
      </c>
      <c r="F163" s="18">
        <v>8610</v>
      </c>
      <c r="G163" t="s">
        <v>252</v>
      </c>
      <c r="H163" t="s">
        <v>253</v>
      </c>
      <c r="I163" t="s">
        <v>244</v>
      </c>
      <c r="J163" t="s">
        <v>1320</v>
      </c>
      <c r="K163" t="s">
        <v>209</v>
      </c>
      <c r="L163" t="s">
        <v>223</v>
      </c>
      <c r="M163" t="s">
        <v>178</v>
      </c>
    </row>
    <row r="164" spans="1:13" x14ac:dyDescent="0.25">
      <c r="A164" t="s">
        <v>1457</v>
      </c>
      <c r="B164" s="6">
        <v>46074</v>
      </c>
      <c r="C164" t="s">
        <v>115</v>
      </c>
      <c r="D164" t="s">
        <v>327</v>
      </c>
      <c r="E164" t="s">
        <v>240</v>
      </c>
      <c r="F164" s="18">
        <v>8111</v>
      </c>
      <c r="G164" t="s">
        <v>252</v>
      </c>
      <c r="H164" t="s">
        <v>243</v>
      </c>
      <c r="I164" t="s">
        <v>244</v>
      </c>
      <c r="J164" t="s">
        <v>1337</v>
      </c>
      <c r="K164" t="s">
        <v>183</v>
      </c>
      <c r="L164" t="s">
        <v>221</v>
      </c>
      <c r="M164" t="s">
        <v>178</v>
      </c>
    </row>
    <row r="165" spans="1:13" x14ac:dyDescent="0.25">
      <c r="A165" t="s">
        <v>860</v>
      </c>
      <c r="B165" s="6">
        <v>46074</v>
      </c>
      <c r="C165" t="s">
        <v>117</v>
      </c>
      <c r="D165" t="s">
        <v>250</v>
      </c>
      <c r="E165" t="s">
        <v>240</v>
      </c>
      <c r="F165" s="18">
        <v>4705</v>
      </c>
      <c r="G165" t="s">
        <v>252</v>
      </c>
      <c r="H165" t="s">
        <v>266</v>
      </c>
      <c r="I165" t="s">
        <v>267</v>
      </c>
      <c r="J165" t="s">
        <v>1312</v>
      </c>
      <c r="K165" t="s">
        <v>188</v>
      </c>
      <c r="L165" t="s">
        <v>224</v>
      </c>
      <c r="M165" t="s">
        <v>178</v>
      </c>
    </row>
    <row r="166" spans="1:13" x14ac:dyDescent="0.25">
      <c r="A166" t="s">
        <v>1458</v>
      </c>
      <c r="B166" s="6">
        <v>46074</v>
      </c>
      <c r="C166" t="s">
        <v>129</v>
      </c>
      <c r="D166" t="s">
        <v>272</v>
      </c>
      <c r="E166" t="s">
        <v>289</v>
      </c>
      <c r="F166" s="18">
        <v>1372</v>
      </c>
      <c r="G166" t="s">
        <v>252</v>
      </c>
      <c r="H166" t="s">
        <v>260</v>
      </c>
      <c r="I166" t="s">
        <v>244</v>
      </c>
      <c r="J166" t="s">
        <v>1314</v>
      </c>
      <c r="K166" t="s">
        <v>198</v>
      </c>
      <c r="L166" t="s">
        <v>217</v>
      </c>
      <c r="M166" t="s">
        <v>189</v>
      </c>
    </row>
    <row r="167" spans="1:13" x14ac:dyDescent="0.25">
      <c r="A167" t="s">
        <v>1459</v>
      </c>
      <c r="B167" s="6">
        <v>46074</v>
      </c>
      <c r="C167" t="s">
        <v>123</v>
      </c>
      <c r="D167" t="s">
        <v>283</v>
      </c>
      <c r="E167" t="s">
        <v>240</v>
      </c>
      <c r="F167" s="18">
        <v>1962</v>
      </c>
      <c r="G167" t="s">
        <v>252</v>
      </c>
      <c r="H167" t="s">
        <v>243</v>
      </c>
      <c r="I167" t="s">
        <v>244</v>
      </c>
      <c r="J167" t="s">
        <v>1353</v>
      </c>
      <c r="K167" t="s">
        <v>183</v>
      </c>
      <c r="L167" t="s">
        <v>196</v>
      </c>
      <c r="M167" t="s">
        <v>199</v>
      </c>
    </row>
    <row r="168" spans="1:13" x14ac:dyDescent="0.25">
      <c r="A168" t="s">
        <v>1460</v>
      </c>
      <c r="B168" s="6">
        <v>46074</v>
      </c>
      <c r="C168" t="s">
        <v>101</v>
      </c>
      <c r="D168" t="s">
        <v>283</v>
      </c>
      <c r="E168" t="s">
        <v>240</v>
      </c>
      <c r="F168" s="18">
        <v>7472</v>
      </c>
      <c r="G168" t="s">
        <v>252</v>
      </c>
      <c r="H168" t="s">
        <v>243</v>
      </c>
      <c r="I168" t="s">
        <v>244</v>
      </c>
      <c r="J168" t="s">
        <v>1353</v>
      </c>
      <c r="K168" t="s">
        <v>183</v>
      </c>
      <c r="L168" t="s">
        <v>228</v>
      </c>
      <c r="M168" t="s">
        <v>178</v>
      </c>
    </row>
    <row r="169" spans="1:13" x14ac:dyDescent="0.25">
      <c r="A169" t="s">
        <v>870</v>
      </c>
      <c r="B169" s="6">
        <v>46074</v>
      </c>
      <c r="C169" t="s">
        <v>66</v>
      </c>
      <c r="D169" t="s">
        <v>272</v>
      </c>
      <c r="E169" t="s">
        <v>240</v>
      </c>
      <c r="F169" s="18">
        <v>3263</v>
      </c>
      <c r="G169" t="s">
        <v>252</v>
      </c>
      <c r="H169" t="s">
        <v>243</v>
      </c>
      <c r="I169" t="s">
        <v>244</v>
      </c>
      <c r="J169" t="s">
        <v>1322</v>
      </c>
      <c r="K169" t="s">
        <v>1323</v>
      </c>
      <c r="L169" t="s">
        <v>192</v>
      </c>
      <c r="M169" t="s">
        <v>178</v>
      </c>
    </row>
    <row r="170" spans="1:13" x14ac:dyDescent="0.25">
      <c r="A170" t="s">
        <v>1461</v>
      </c>
      <c r="B170" s="6">
        <v>46075</v>
      </c>
      <c r="C170" t="s">
        <v>72</v>
      </c>
      <c r="D170" t="s">
        <v>258</v>
      </c>
      <c r="E170" t="s">
        <v>240</v>
      </c>
      <c r="F170" s="18">
        <v>3766</v>
      </c>
      <c r="G170" t="s">
        <v>252</v>
      </c>
      <c r="H170" t="s">
        <v>260</v>
      </c>
      <c r="I170" t="s">
        <v>244</v>
      </c>
      <c r="J170" t="s">
        <v>1310</v>
      </c>
      <c r="K170" t="s">
        <v>188</v>
      </c>
      <c r="L170" t="s">
        <v>204</v>
      </c>
      <c r="M170" t="s">
        <v>189</v>
      </c>
    </row>
    <row r="171" spans="1:13" x14ac:dyDescent="0.25">
      <c r="A171" t="s">
        <v>1462</v>
      </c>
      <c r="B171" s="6">
        <v>46075</v>
      </c>
      <c r="C171" t="s">
        <v>59</v>
      </c>
      <c r="D171" t="s">
        <v>250</v>
      </c>
      <c r="E171" t="s">
        <v>240</v>
      </c>
      <c r="F171" s="18">
        <v>18881</v>
      </c>
      <c r="G171" t="s">
        <v>252</v>
      </c>
      <c r="H171" t="s">
        <v>266</v>
      </c>
      <c r="I171" t="s">
        <v>267</v>
      </c>
      <c r="J171" t="s">
        <v>1312</v>
      </c>
      <c r="K171" t="s">
        <v>188</v>
      </c>
      <c r="L171" t="s">
        <v>175</v>
      </c>
      <c r="M171" t="s">
        <v>178</v>
      </c>
    </row>
    <row r="172" spans="1:13" x14ac:dyDescent="0.25">
      <c r="A172" t="s">
        <v>1463</v>
      </c>
      <c r="B172" s="6">
        <v>46075</v>
      </c>
      <c r="C172" t="s">
        <v>135</v>
      </c>
      <c r="D172" t="s">
        <v>327</v>
      </c>
      <c r="E172" t="s">
        <v>289</v>
      </c>
      <c r="F172" s="18">
        <v>349</v>
      </c>
      <c r="G172" t="s">
        <v>252</v>
      </c>
      <c r="H172" t="s">
        <v>266</v>
      </c>
      <c r="I172" t="s">
        <v>267</v>
      </c>
      <c r="J172" t="s">
        <v>1341</v>
      </c>
      <c r="K172" t="s">
        <v>194</v>
      </c>
      <c r="L172" t="s">
        <v>226</v>
      </c>
      <c r="M172" t="s">
        <v>178</v>
      </c>
    </row>
    <row r="173" spans="1:13" x14ac:dyDescent="0.25">
      <c r="A173" t="s">
        <v>884</v>
      </c>
      <c r="B173" s="6">
        <v>46075</v>
      </c>
      <c r="C173" t="s">
        <v>107</v>
      </c>
      <c r="D173" t="s">
        <v>250</v>
      </c>
      <c r="E173" t="s">
        <v>289</v>
      </c>
      <c r="F173" s="18">
        <v>5475</v>
      </c>
      <c r="G173" t="s">
        <v>252</v>
      </c>
      <c r="H173" t="s">
        <v>253</v>
      </c>
      <c r="I173" t="s">
        <v>244</v>
      </c>
      <c r="J173" t="s">
        <v>1307</v>
      </c>
      <c r="K173" t="s">
        <v>209</v>
      </c>
      <c r="L173" t="s">
        <v>201</v>
      </c>
      <c r="M173" t="s">
        <v>178</v>
      </c>
    </row>
    <row r="174" spans="1:13" x14ac:dyDescent="0.25">
      <c r="A174" t="s">
        <v>1464</v>
      </c>
      <c r="B174" s="6">
        <v>46076</v>
      </c>
      <c r="C174" t="s">
        <v>98</v>
      </c>
      <c r="D174" t="s">
        <v>258</v>
      </c>
      <c r="E174" t="s">
        <v>240</v>
      </c>
      <c r="F174" s="18">
        <v>3042</v>
      </c>
      <c r="G174" t="s">
        <v>252</v>
      </c>
      <c r="H174" t="s">
        <v>253</v>
      </c>
      <c r="I174" t="s">
        <v>244</v>
      </c>
      <c r="J174" t="s">
        <v>1378</v>
      </c>
      <c r="K174" t="s">
        <v>194</v>
      </c>
      <c r="L174" t="s">
        <v>225</v>
      </c>
      <c r="M174" t="s">
        <v>189</v>
      </c>
    </row>
    <row r="175" spans="1:13" x14ac:dyDescent="0.25">
      <c r="A175" t="s">
        <v>1465</v>
      </c>
      <c r="B175" s="6">
        <v>46076</v>
      </c>
      <c r="C175" t="s">
        <v>104</v>
      </c>
      <c r="D175" t="s">
        <v>327</v>
      </c>
      <c r="E175" t="s">
        <v>289</v>
      </c>
      <c r="F175" s="18">
        <v>4847</v>
      </c>
      <c r="G175" t="s">
        <v>252</v>
      </c>
      <c r="H175" t="s">
        <v>266</v>
      </c>
      <c r="I175" t="s">
        <v>267</v>
      </c>
      <c r="J175" t="s">
        <v>1341</v>
      </c>
      <c r="K175" t="s">
        <v>194</v>
      </c>
      <c r="L175" t="s">
        <v>186</v>
      </c>
      <c r="M175" t="s">
        <v>189</v>
      </c>
    </row>
    <row r="176" spans="1:13" x14ac:dyDescent="0.25">
      <c r="A176" t="s">
        <v>1466</v>
      </c>
      <c r="B176" s="6">
        <v>46076</v>
      </c>
      <c r="C176" t="s">
        <v>95</v>
      </c>
      <c r="D176" t="s">
        <v>272</v>
      </c>
      <c r="E176" t="s">
        <v>289</v>
      </c>
      <c r="F176" s="18">
        <v>17137</v>
      </c>
      <c r="G176" t="s">
        <v>252</v>
      </c>
      <c r="H176" t="s">
        <v>253</v>
      </c>
      <c r="I176" t="s">
        <v>244</v>
      </c>
      <c r="J176" t="s">
        <v>1348</v>
      </c>
      <c r="K176" t="s">
        <v>209</v>
      </c>
      <c r="L176" t="s">
        <v>222</v>
      </c>
      <c r="M176" t="s">
        <v>189</v>
      </c>
    </row>
    <row r="177" spans="1:13" x14ac:dyDescent="0.25">
      <c r="A177" t="s">
        <v>898</v>
      </c>
      <c r="B177" s="6">
        <v>46076</v>
      </c>
      <c r="C177" t="s">
        <v>91</v>
      </c>
      <c r="D177" t="s">
        <v>250</v>
      </c>
      <c r="E177" t="s">
        <v>240</v>
      </c>
      <c r="F177" s="18">
        <v>6377</v>
      </c>
      <c r="G177" t="s">
        <v>252</v>
      </c>
      <c r="H177" t="s">
        <v>253</v>
      </c>
      <c r="I177" t="s">
        <v>244</v>
      </c>
      <c r="J177" t="s">
        <v>1307</v>
      </c>
      <c r="K177" t="s">
        <v>209</v>
      </c>
      <c r="L177" t="s">
        <v>219</v>
      </c>
      <c r="M177" t="s">
        <v>178</v>
      </c>
    </row>
    <row r="178" spans="1:13" x14ac:dyDescent="0.25">
      <c r="A178" t="s">
        <v>1467</v>
      </c>
      <c r="B178" s="6">
        <v>46077</v>
      </c>
      <c r="C178" t="s">
        <v>101</v>
      </c>
      <c r="D178" t="s">
        <v>283</v>
      </c>
      <c r="E178" t="s">
        <v>289</v>
      </c>
      <c r="F178" s="18">
        <v>290</v>
      </c>
      <c r="G178" t="s">
        <v>252</v>
      </c>
      <c r="H178" t="s">
        <v>253</v>
      </c>
      <c r="I178" t="s">
        <v>244</v>
      </c>
      <c r="J178" t="s">
        <v>1320</v>
      </c>
      <c r="K178" t="s">
        <v>209</v>
      </c>
      <c r="L178" t="s">
        <v>228</v>
      </c>
      <c r="M178" t="s">
        <v>178</v>
      </c>
    </row>
    <row r="179" spans="1:13" x14ac:dyDescent="0.25">
      <c r="A179" t="s">
        <v>1468</v>
      </c>
      <c r="B179" s="6">
        <v>46077</v>
      </c>
      <c r="C179" t="s">
        <v>107</v>
      </c>
      <c r="D179" t="s">
        <v>250</v>
      </c>
      <c r="E179" t="s">
        <v>240</v>
      </c>
      <c r="F179" s="18">
        <v>4076</v>
      </c>
      <c r="G179" t="s">
        <v>252</v>
      </c>
      <c r="H179" t="s">
        <v>253</v>
      </c>
      <c r="I179" t="s">
        <v>244</v>
      </c>
      <c r="J179" t="s">
        <v>1307</v>
      </c>
      <c r="K179" t="s">
        <v>209</v>
      </c>
      <c r="L179" t="s">
        <v>201</v>
      </c>
      <c r="M179" t="s">
        <v>178</v>
      </c>
    </row>
    <row r="180" spans="1:13" x14ac:dyDescent="0.25">
      <c r="A180" t="s">
        <v>1469</v>
      </c>
      <c r="B180" s="6">
        <v>46078</v>
      </c>
      <c r="C180" t="s">
        <v>59</v>
      </c>
      <c r="D180" t="s">
        <v>250</v>
      </c>
      <c r="E180" t="s">
        <v>240</v>
      </c>
      <c r="F180" s="18">
        <v>8060</v>
      </c>
      <c r="G180" t="s">
        <v>252</v>
      </c>
      <c r="H180" t="s">
        <v>243</v>
      </c>
      <c r="I180" t="s">
        <v>244</v>
      </c>
      <c r="J180" t="s">
        <v>1304</v>
      </c>
      <c r="K180" t="s">
        <v>177</v>
      </c>
      <c r="L180" t="s">
        <v>175</v>
      </c>
      <c r="M180" t="s">
        <v>178</v>
      </c>
    </row>
    <row r="181" spans="1:13" x14ac:dyDescent="0.25">
      <c r="A181" t="s">
        <v>912</v>
      </c>
      <c r="B181" s="6">
        <v>46078</v>
      </c>
      <c r="C181" t="s">
        <v>72</v>
      </c>
      <c r="D181" t="s">
        <v>258</v>
      </c>
      <c r="E181" t="s">
        <v>289</v>
      </c>
      <c r="F181" s="18">
        <v>9205</v>
      </c>
      <c r="G181" t="s">
        <v>252</v>
      </c>
      <c r="H181" t="s">
        <v>260</v>
      </c>
      <c r="I181" t="s">
        <v>244</v>
      </c>
      <c r="J181" t="s">
        <v>1310</v>
      </c>
      <c r="K181" t="s">
        <v>188</v>
      </c>
      <c r="L181" t="s">
        <v>204</v>
      </c>
      <c r="M181" t="s">
        <v>189</v>
      </c>
    </row>
    <row r="182" spans="1:13" x14ac:dyDescent="0.25">
      <c r="A182" t="s">
        <v>1470</v>
      </c>
      <c r="B182" s="6">
        <v>46078</v>
      </c>
      <c r="C182" t="s">
        <v>131</v>
      </c>
      <c r="D182" t="s">
        <v>258</v>
      </c>
      <c r="E182" t="s">
        <v>240</v>
      </c>
      <c r="F182" s="18">
        <v>2591</v>
      </c>
      <c r="G182" t="s">
        <v>252</v>
      </c>
      <c r="H182" t="s">
        <v>243</v>
      </c>
      <c r="I182" t="s">
        <v>244</v>
      </c>
      <c r="J182" t="s">
        <v>1334</v>
      </c>
      <c r="K182" t="s">
        <v>177</v>
      </c>
      <c r="L182" t="s">
        <v>220</v>
      </c>
      <c r="M182" t="s">
        <v>199</v>
      </c>
    </row>
    <row r="183" spans="1:13" x14ac:dyDescent="0.25">
      <c r="A183" t="s">
        <v>1471</v>
      </c>
      <c r="B183" s="6">
        <v>46078</v>
      </c>
      <c r="C183" t="s">
        <v>133</v>
      </c>
      <c r="D183" t="s">
        <v>283</v>
      </c>
      <c r="E183" t="s">
        <v>240</v>
      </c>
      <c r="F183" s="18">
        <v>3199</v>
      </c>
      <c r="G183" t="s">
        <v>252</v>
      </c>
      <c r="H183" t="s">
        <v>266</v>
      </c>
      <c r="I183" t="s">
        <v>267</v>
      </c>
      <c r="J183" t="s">
        <v>1342</v>
      </c>
      <c r="K183" t="s">
        <v>1343</v>
      </c>
      <c r="L183" t="s">
        <v>223</v>
      </c>
      <c r="M183" t="s">
        <v>178</v>
      </c>
    </row>
    <row r="184" spans="1:13" x14ac:dyDescent="0.25">
      <c r="A184" t="s">
        <v>1472</v>
      </c>
      <c r="B184" s="6">
        <v>46078</v>
      </c>
      <c r="C184" t="s">
        <v>104</v>
      </c>
      <c r="D184" t="s">
        <v>327</v>
      </c>
      <c r="E184" t="s">
        <v>240</v>
      </c>
      <c r="F184" s="18">
        <v>5023</v>
      </c>
      <c r="G184" t="s">
        <v>252</v>
      </c>
      <c r="H184" t="s">
        <v>253</v>
      </c>
      <c r="I184" t="s">
        <v>244</v>
      </c>
      <c r="J184" t="s">
        <v>1363</v>
      </c>
      <c r="K184" t="s">
        <v>209</v>
      </c>
      <c r="L184" t="s">
        <v>186</v>
      </c>
      <c r="M184" t="s">
        <v>189</v>
      </c>
    </row>
    <row r="185" spans="1:13" x14ac:dyDescent="0.25">
      <c r="A185" t="s">
        <v>924</v>
      </c>
      <c r="B185" s="6">
        <v>46079</v>
      </c>
      <c r="C185" t="s">
        <v>84</v>
      </c>
      <c r="D185" t="s">
        <v>272</v>
      </c>
      <c r="E185" t="s">
        <v>240</v>
      </c>
      <c r="F185" s="18">
        <v>15900</v>
      </c>
      <c r="G185" t="s">
        <v>252</v>
      </c>
      <c r="H185" t="s">
        <v>243</v>
      </c>
      <c r="I185" t="s">
        <v>244</v>
      </c>
      <c r="J185" t="s">
        <v>1304</v>
      </c>
      <c r="K185" t="s">
        <v>177</v>
      </c>
      <c r="L185" t="s">
        <v>216</v>
      </c>
      <c r="M185" t="s">
        <v>178</v>
      </c>
    </row>
    <row r="186" spans="1:13" x14ac:dyDescent="0.25">
      <c r="A186" t="s">
        <v>1473</v>
      </c>
      <c r="B186" s="6">
        <v>46079</v>
      </c>
      <c r="C186" t="s">
        <v>121</v>
      </c>
      <c r="D186" t="s">
        <v>258</v>
      </c>
      <c r="E186" t="s">
        <v>289</v>
      </c>
      <c r="F186" s="18">
        <v>4405</v>
      </c>
      <c r="G186" t="s">
        <v>252</v>
      </c>
      <c r="H186" t="s">
        <v>260</v>
      </c>
      <c r="I186" t="s">
        <v>244</v>
      </c>
      <c r="J186" t="s">
        <v>1310</v>
      </c>
      <c r="K186" t="s">
        <v>188</v>
      </c>
      <c r="L186" t="s">
        <v>181</v>
      </c>
      <c r="M186" t="s">
        <v>178</v>
      </c>
    </row>
    <row r="187" spans="1:13" x14ac:dyDescent="0.25">
      <c r="A187" t="s">
        <v>1474</v>
      </c>
      <c r="B187" s="6">
        <v>46079</v>
      </c>
      <c r="C187" t="s">
        <v>121</v>
      </c>
      <c r="D187" t="s">
        <v>258</v>
      </c>
      <c r="E187" t="s">
        <v>240</v>
      </c>
      <c r="F187" s="18">
        <v>2865</v>
      </c>
      <c r="G187" t="s">
        <v>252</v>
      </c>
      <c r="H187" t="s">
        <v>260</v>
      </c>
      <c r="I187" t="s">
        <v>244</v>
      </c>
      <c r="J187" t="s">
        <v>1310</v>
      </c>
      <c r="K187" t="s">
        <v>188</v>
      </c>
      <c r="L187" t="s">
        <v>181</v>
      </c>
      <c r="M187" t="s">
        <v>178</v>
      </c>
    </row>
    <row r="188" spans="1:13" x14ac:dyDescent="0.25">
      <c r="A188" t="s">
        <v>1475</v>
      </c>
      <c r="B188" s="6">
        <v>46079</v>
      </c>
      <c r="C188" t="s">
        <v>78</v>
      </c>
      <c r="D188" t="s">
        <v>283</v>
      </c>
      <c r="E188" t="s">
        <v>240</v>
      </c>
      <c r="F188" s="18">
        <v>10987</v>
      </c>
      <c r="G188" t="s">
        <v>252</v>
      </c>
      <c r="H188" t="s">
        <v>260</v>
      </c>
      <c r="I188" t="s">
        <v>244</v>
      </c>
      <c r="J188" t="s">
        <v>1345</v>
      </c>
      <c r="K188" t="s">
        <v>203</v>
      </c>
      <c r="L188" t="s">
        <v>212</v>
      </c>
      <c r="M188" t="s">
        <v>189</v>
      </c>
    </row>
    <row r="189" spans="1:13" x14ac:dyDescent="0.25">
      <c r="A189" t="s">
        <v>938</v>
      </c>
      <c r="B189" s="6">
        <v>46080</v>
      </c>
      <c r="C189" t="s">
        <v>129</v>
      </c>
      <c r="D189" t="s">
        <v>272</v>
      </c>
      <c r="E189" t="s">
        <v>240</v>
      </c>
      <c r="F189" s="18">
        <v>4599</v>
      </c>
      <c r="G189" t="s">
        <v>252</v>
      </c>
      <c r="H189" t="s">
        <v>260</v>
      </c>
      <c r="I189" t="s">
        <v>244</v>
      </c>
      <c r="J189" t="s">
        <v>1314</v>
      </c>
      <c r="K189" t="s">
        <v>198</v>
      </c>
      <c r="L189" t="s">
        <v>217</v>
      </c>
      <c r="M189" t="s">
        <v>189</v>
      </c>
    </row>
    <row r="190" spans="1:13" x14ac:dyDescent="0.25">
      <c r="A190" t="s">
        <v>1476</v>
      </c>
      <c r="B190" s="6">
        <v>46080</v>
      </c>
      <c r="C190" t="s">
        <v>131</v>
      </c>
      <c r="D190" t="s">
        <v>258</v>
      </c>
      <c r="E190" t="s">
        <v>240</v>
      </c>
      <c r="F190" s="18">
        <v>16799</v>
      </c>
      <c r="G190" t="s">
        <v>252</v>
      </c>
      <c r="H190" t="s">
        <v>253</v>
      </c>
      <c r="I190" t="s">
        <v>244</v>
      </c>
      <c r="J190" t="s">
        <v>1378</v>
      </c>
      <c r="K190" t="s">
        <v>194</v>
      </c>
      <c r="L190" t="s">
        <v>220</v>
      </c>
      <c r="M190" t="s">
        <v>199</v>
      </c>
    </row>
    <row r="191" spans="1:13" x14ac:dyDescent="0.25">
      <c r="A191" t="s">
        <v>1477</v>
      </c>
      <c r="B191" s="6">
        <v>46080</v>
      </c>
      <c r="C191" t="s">
        <v>78</v>
      </c>
      <c r="D191" t="s">
        <v>283</v>
      </c>
      <c r="E191" t="s">
        <v>240</v>
      </c>
      <c r="F191" s="18">
        <v>6052</v>
      </c>
      <c r="G191" t="s">
        <v>252</v>
      </c>
      <c r="H191" t="s">
        <v>243</v>
      </c>
      <c r="I191" t="s">
        <v>244</v>
      </c>
      <c r="J191" t="s">
        <v>1353</v>
      </c>
      <c r="K191" t="s">
        <v>183</v>
      </c>
      <c r="L191" t="s">
        <v>212</v>
      </c>
      <c r="M191" t="s">
        <v>189</v>
      </c>
    </row>
    <row r="192" spans="1:13" x14ac:dyDescent="0.25">
      <c r="A192" t="s">
        <v>1478</v>
      </c>
      <c r="B192" s="6">
        <v>46080</v>
      </c>
      <c r="C192" t="s">
        <v>127</v>
      </c>
      <c r="D192" t="s">
        <v>250</v>
      </c>
      <c r="E192" t="s">
        <v>289</v>
      </c>
      <c r="F192" s="18">
        <v>8820</v>
      </c>
      <c r="G192" t="s">
        <v>252</v>
      </c>
      <c r="H192" t="s">
        <v>260</v>
      </c>
      <c r="I192" t="s">
        <v>244</v>
      </c>
      <c r="J192" t="s">
        <v>1317</v>
      </c>
      <c r="K192" t="s">
        <v>206</v>
      </c>
      <c r="L192" t="s">
        <v>214</v>
      </c>
      <c r="M192" t="s">
        <v>178</v>
      </c>
    </row>
    <row r="193" spans="1:13" x14ac:dyDescent="0.25">
      <c r="A193" t="s">
        <v>952</v>
      </c>
      <c r="B193" s="6">
        <v>46081</v>
      </c>
      <c r="C193" t="s">
        <v>127</v>
      </c>
      <c r="D193" t="s">
        <v>250</v>
      </c>
      <c r="E193" t="s">
        <v>240</v>
      </c>
      <c r="F193" s="18">
        <v>10809</v>
      </c>
      <c r="G193" t="s">
        <v>252</v>
      </c>
      <c r="H193" t="s">
        <v>253</v>
      </c>
      <c r="I193" t="s">
        <v>244</v>
      </c>
      <c r="J193" t="s">
        <v>1307</v>
      </c>
      <c r="K193" t="s">
        <v>209</v>
      </c>
      <c r="L193" t="s">
        <v>214</v>
      </c>
      <c r="M193" t="s">
        <v>178</v>
      </c>
    </row>
    <row r="194" spans="1:13" x14ac:dyDescent="0.25">
      <c r="A194" t="s">
        <v>1479</v>
      </c>
      <c r="B194" s="6">
        <v>46082</v>
      </c>
      <c r="C194" t="s">
        <v>98</v>
      </c>
      <c r="D194" t="s">
        <v>258</v>
      </c>
      <c r="E194" t="s">
        <v>240</v>
      </c>
      <c r="F194" s="18">
        <v>537</v>
      </c>
      <c r="G194" t="s">
        <v>252</v>
      </c>
      <c r="H194" t="s">
        <v>260</v>
      </c>
      <c r="I194" t="s">
        <v>244</v>
      </c>
      <c r="J194" t="s">
        <v>1310</v>
      </c>
      <c r="K194" t="s">
        <v>188</v>
      </c>
      <c r="L194" t="s">
        <v>225</v>
      </c>
      <c r="M194" t="s">
        <v>189</v>
      </c>
    </row>
    <row r="195" spans="1:13" x14ac:dyDescent="0.25">
      <c r="A195" t="s">
        <v>1480</v>
      </c>
      <c r="B195" s="6">
        <v>46083</v>
      </c>
      <c r="C195" t="s">
        <v>115</v>
      </c>
      <c r="D195" t="s">
        <v>327</v>
      </c>
      <c r="E195" t="s">
        <v>240</v>
      </c>
      <c r="F195" s="18">
        <v>22346</v>
      </c>
      <c r="G195" t="s">
        <v>252</v>
      </c>
      <c r="H195" t="s">
        <v>243</v>
      </c>
      <c r="I195" t="s">
        <v>244</v>
      </c>
      <c r="J195" t="s">
        <v>1337</v>
      </c>
      <c r="K195" t="s">
        <v>183</v>
      </c>
      <c r="L195" t="s">
        <v>221</v>
      </c>
      <c r="M195" t="s">
        <v>178</v>
      </c>
    </row>
    <row r="196" spans="1:13" x14ac:dyDescent="0.25">
      <c r="A196" t="s">
        <v>1481</v>
      </c>
      <c r="B196" s="6">
        <v>46084</v>
      </c>
      <c r="C196" t="s">
        <v>111</v>
      </c>
      <c r="D196" t="s">
        <v>258</v>
      </c>
      <c r="E196" t="s">
        <v>240</v>
      </c>
      <c r="F196" s="18">
        <v>1401</v>
      </c>
      <c r="G196" t="s">
        <v>252</v>
      </c>
      <c r="H196" t="s">
        <v>260</v>
      </c>
      <c r="I196" t="s">
        <v>244</v>
      </c>
      <c r="J196" t="s">
        <v>1310</v>
      </c>
      <c r="K196" t="s">
        <v>188</v>
      </c>
      <c r="L196" t="s">
        <v>215</v>
      </c>
      <c r="M196" t="s">
        <v>199</v>
      </c>
    </row>
    <row r="197" spans="1:13" x14ac:dyDescent="0.25">
      <c r="A197" t="s">
        <v>966</v>
      </c>
      <c r="B197" s="6">
        <v>46084</v>
      </c>
      <c r="C197" t="s">
        <v>135</v>
      </c>
      <c r="D197" t="s">
        <v>327</v>
      </c>
      <c r="E197" t="s">
        <v>289</v>
      </c>
      <c r="F197" s="18">
        <v>1424</v>
      </c>
      <c r="G197" t="s">
        <v>252</v>
      </c>
      <c r="H197" t="s">
        <v>243</v>
      </c>
      <c r="I197" t="s">
        <v>244</v>
      </c>
      <c r="J197" t="s">
        <v>1337</v>
      </c>
      <c r="K197" t="s">
        <v>183</v>
      </c>
      <c r="L197" t="s">
        <v>226</v>
      </c>
      <c r="M197" t="s">
        <v>178</v>
      </c>
    </row>
    <row r="198" spans="1:13" x14ac:dyDescent="0.25">
      <c r="A198" t="s">
        <v>1482</v>
      </c>
      <c r="B198" s="6">
        <v>46084</v>
      </c>
      <c r="C198" t="s">
        <v>119</v>
      </c>
      <c r="D198" t="s">
        <v>272</v>
      </c>
      <c r="E198" t="s">
        <v>289</v>
      </c>
      <c r="F198" s="18">
        <v>1910</v>
      </c>
      <c r="G198" t="s">
        <v>252</v>
      </c>
      <c r="H198" t="s">
        <v>243</v>
      </c>
      <c r="I198" t="s">
        <v>244</v>
      </c>
      <c r="J198" t="s">
        <v>1322</v>
      </c>
      <c r="K198" t="s">
        <v>1323</v>
      </c>
      <c r="L198" t="s">
        <v>227</v>
      </c>
      <c r="M198" t="s">
        <v>199</v>
      </c>
    </row>
    <row r="199" spans="1:13" x14ac:dyDescent="0.25">
      <c r="A199" t="s">
        <v>1483</v>
      </c>
      <c r="B199" s="6">
        <v>46084</v>
      </c>
      <c r="C199" t="s">
        <v>101</v>
      </c>
      <c r="D199" t="s">
        <v>283</v>
      </c>
      <c r="E199" t="s">
        <v>240</v>
      </c>
      <c r="F199" s="18">
        <v>6777</v>
      </c>
      <c r="G199" t="s">
        <v>252</v>
      </c>
      <c r="H199" t="s">
        <v>260</v>
      </c>
      <c r="I199" t="s">
        <v>244</v>
      </c>
      <c r="J199" t="s">
        <v>1345</v>
      </c>
      <c r="K199" t="s">
        <v>203</v>
      </c>
      <c r="L199" t="s">
        <v>228</v>
      </c>
      <c r="M199" t="s">
        <v>178</v>
      </c>
    </row>
    <row r="200" spans="1:13" x14ac:dyDescent="0.25">
      <c r="A200" t="s">
        <v>1484</v>
      </c>
      <c r="B200" s="6">
        <v>46085</v>
      </c>
      <c r="C200" t="s">
        <v>111</v>
      </c>
      <c r="D200" t="s">
        <v>258</v>
      </c>
      <c r="E200" t="s">
        <v>240</v>
      </c>
      <c r="F200" s="18">
        <v>604</v>
      </c>
      <c r="G200" t="s">
        <v>252</v>
      </c>
      <c r="H200" t="s">
        <v>260</v>
      </c>
      <c r="I200" t="s">
        <v>244</v>
      </c>
      <c r="J200" t="s">
        <v>1310</v>
      </c>
      <c r="K200" t="s">
        <v>188</v>
      </c>
      <c r="L200" t="s">
        <v>215</v>
      </c>
      <c r="M200" t="s">
        <v>199</v>
      </c>
    </row>
    <row r="201" spans="1:13" x14ac:dyDescent="0.25">
      <c r="A201" t="s">
        <v>979</v>
      </c>
      <c r="B201" s="6">
        <v>46085</v>
      </c>
      <c r="C201" t="s">
        <v>111</v>
      </c>
      <c r="D201" t="s">
        <v>258</v>
      </c>
      <c r="E201" t="s">
        <v>289</v>
      </c>
      <c r="F201" s="18">
        <v>1696</v>
      </c>
      <c r="G201" t="s">
        <v>252</v>
      </c>
      <c r="H201" t="s">
        <v>253</v>
      </c>
      <c r="I201" t="s">
        <v>244</v>
      </c>
      <c r="J201" t="s">
        <v>1378</v>
      </c>
      <c r="K201" t="s">
        <v>194</v>
      </c>
      <c r="L201" t="s">
        <v>215</v>
      </c>
      <c r="M201" t="s">
        <v>199</v>
      </c>
    </row>
    <row r="202" spans="1:13" x14ac:dyDescent="0.25">
      <c r="A202" t="s">
        <v>1485</v>
      </c>
      <c r="B202" s="6">
        <v>46085</v>
      </c>
      <c r="C202" t="s">
        <v>117</v>
      </c>
      <c r="D202" t="s">
        <v>250</v>
      </c>
      <c r="E202" t="s">
        <v>240</v>
      </c>
      <c r="F202" s="18">
        <v>9040</v>
      </c>
      <c r="G202" t="s">
        <v>252</v>
      </c>
      <c r="H202" t="s">
        <v>260</v>
      </c>
      <c r="I202" t="s">
        <v>244</v>
      </c>
      <c r="J202" t="s">
        <v>1317</v>
      </c>
      <c r="K202" t="s">
        <v>206</v>
      </c>
      <c r="L202" t="s">
        <v>224</v>
      </c>
      <c r="M202" t="s">
        <v>178</v>
      </c>
    </row>
    <row r="203" spans="1:13" x14ac:dyDescent="0.25">
      <c r="A203" t="s">
        <v>1486</v>
      </c>
      <c r="B203" s="6">
        <v>46086</v>
      </c>
      <c r="C203" t="s">
        <v>121</v>
      </c>
      <c r="D203" t="s">
        <v>258</v>
      </c>
      <c r="E203" t="s">
        <v>289</v>
      </c>
      <c r="F203" s="18">
        <v>583</v>
      </c>
      <c r="G203" t="s">
        <v>252</v>
      </c>
      <c r="H203" t="s">
        <v>253</v>
      </c>
      <c r="I203" t="s">
        <v>244</v>
      </c>
      <c r="J203" t="s">
        <v>1378</v>
      </c>
      <c r="K203" t="s">
        <v>194</v>
      </c>
      <c r="L203" t="s">
        <v>181</v>
      </c>
      <c r="M203" t="s">
        <v>178</v>
      </c>
    </row>
    <row r="204" spans="1:13" x14ac:dyDescent="0.25">
      <c r="A204" t="s">
        <v>1487</v>
      </c>
      <c r="B204" s="6">
        <v>46086</v>
      </c>
      <c r="C204" t="s">
        <v>121</v>
      </c>
      <c r="D204" t="s">
        <v>258</v>
      </c>
      <c r="E204" t="s">
        <v>240</v>
      </c>
      <c r="F204" s="18">
        <v>10701</v>
      </c>
      <c r="G204" t="s">
        <v>252</v>
      </c>
      <c r="H204" t="s">
        <v>243</v>
      </c>
      <c r="I204" t="s">
        <v>244</v>
      </c>
      <c r="J204" t="s">
        <v>1334</v>
      </c>
      <c r="K204" t="s">
        <v>177</v>
      </c>
      <c r="L204" t="s">
        <v>181</v>
      </c>
      <c r="M204" t="s">
        <v>178</v>
      </c>
    </row>
    <row r="205" spans="1:13" x14ac:dyDescent="0.25">
      <c r="A205" t="s">
        <v>993</v>
      </c>
      <c r="B205" s="6">
        <v>46086</v>
      </c>
      <c r="C205" t="s">
        <v>84</v>
      </c>
      <c r="D205" t="s">
        <v>327</v>
      </c>
      <c r="E205" t="s">
        <v>240</v>
      </c>
      <c r="F205" s="18">
        <v>5830</v>
      </c>
      <c r="G205" t="s">
        <v>252</v>
      </c>
      <c r="H205" t="s">
        <v>253</v>
      </c>
      <c r="I205" t="s">
        <v>244</v>
      </c>
      <c r="J205" t="s">
        <v>1363</v>
      </c>
      <c r="K205" t="s">
        <v>209</v>
      </c>
      <c r="L205" t="s">
        <v>216</v>
      </c>
      <c r="M205" t="s">
        <v>178</v>
      </c>
    </row>
    <row r="206" spans="1:13" x14ac:dyDescent="0.25">
      <c r="A206" t="s">
        <v>1488</v>
      </c>
      <c r="B206" s="6">
        <v>46087</v>
      </c>
      <c r="C206" t="s">
        <v>131</v>
      </c>
      <c r="D206" t="s">
        <v>258</v>
      </c>
      <c r="E206" t="s">
        <v>289</v>
      </c>
      <c r="F206" s="18">
        <v>21669</v>
      </c>
      <c r="G206" t="s">
        <v>252</v>
      </c>
      <c r="H206" t="s">
        <v>260</v>
      </c>
      <c r="I206" t="s">
        <v>244</v>
      </c>
      <c r="J206" t="s">
        <v>1310</v>
      </c>
      <c r="K206" t="s">
        <v>188</v>
      </c>
      <c r="L206" t="s">
        <v>220</v>
      </c>
      <c r="M206" t="s">
        <v>199</v>
      </c>
    </row>
    <row r="207" spans="1:13" x14ac:dyDescent="0.25">
      <c r="A207" t="s">
        <v>1489</v>
      </c>
      <c r="B207" s="6">
        <v>46087</v>
      </c>
      <c r="C207" t="s">
        <v>91</v>
      </c>
      <c r="D207" t="s">
        <v>250</v>
      </c>
      <c r="E207" t="s">
        <v>240</v>
      </c>
      <c r="F207" s="18">
        <v>1869</v>
      </c>
      <c r="G207" t="s">
        <v>252</v>
      </c>
      <c r="H207" t="s">
        <v>260</v>
      </c>
      <c r="I207" t="s">
        <v>244</v>
      </c>
      <c r="J207" t="s">
        <v>1317</v>
      </c>
      <c r="K207" t="s">
        <v>206</v>
      </c>
      <c r="L207" t="s">
        <v>219</v>
      </c>
      <c r="M207" t="s">
        <v>178</v>
      </c>
    </row>
    <row r="208" spans="1:13" x14ac:dyDescent="0.25">
      <c r="A208" t="s">
        <v>1490</v>
      </c>
      <c r="B208" s="6">
        <v>46088</v>
      </c>
      <c r="C208" t="s">
        <v>129</v>
      </c>
      <c r="D208" t="s">
        <v>272</v>
      </c>
      <c r="E208" t="s">
        <v>240</v>
      </c>
      <c r="F208" s="18">
        <v>938</v>
      </c>
      <c r="G208" t="s">
        <v>252</v>
      </c>
      <c r="H208" t="s">
        <v>266</v>
      </c>
      <c r="I208" t="s">
        <v>267</v>
      </c>
      <c r="J208" t="s">
        <v>1329</v>
      </c>
      <c r="K208" t="s">
        <v>209</v>
      </c>
      <c r="L208" t="s">
        <v>217</v>
      </c>
      <c r="M208" t="s">
        <v>189</v>
      </c>
    </row>
    <row r="209" spans="1:13" x14ac:dyDescent="0.25">
      <c r="A209" t="s">
        <v>1007</v>
      </c>
      <c r="B209" s="6">
        <v>46088</v>
      </c>
      <c r="C209" t="s">
        <v>78</v>
      </c>
      <c r="D209" t="s">
        <v>283</v>
      </c>
      <c r="E209" t="s">
        <v>289</v>
      </c>
      <c r="F209" s="18">
        <v>1560</v>
      </c>
      <c r="G209" t="s">
        <v>252</v>
      </c>
      <c r="H209" t="s">
        <v>253</v>
      </c>
      <c r="I209" t="s">
        <v>244</v>
      </c>
      <c r="J209" t="s">
        <v>1320</v>
      </c>
      <c r="K209" t="s">
        <v>209</v>
      </c>
      <c r="L209" t="s">
        <v>212</v>
      </c>
      <c r="M209" t="s">
        <v>189</v>
      </c>
    </row>
    <row r="210" spans="1:13" x14ac:dyDescent="0.25">
      <c r="A210" t="s">
        <v>1491</v>
      </c>
      <c r="B210" s="6">
        <v>46088</v>
      </c>
      <c r="C210" t="s">
        <v>135</v>
      </c>
      <c r="D210" t="s">
        <v>327</v>
      </c>
      <c r="E210" t="s">
        <v>240</v>
      </c>
      <c r="F210" s="18">
        <v>759</v>
      </c>
      <c r="G210" t="s">
        <v>252</v>
      </c>
      <c r="H210" t="s">
        <v>243</v>
      </c>
      <c r="I210" t="s">
        <v>244</v>
      </c>
      <c r="J210" t="s">
        <v>1337</v>
      </c>
      <c r="K210" t="s">
        <v>183</v>
      </c>
      <c r="L210" t="s">
        <v>226</v>
      </c>
      <c r="M210" t="s">
        <v>178</v>
      </c>
    </row>
    <row r="211" spans="1:13" x14ac:dyDescent="0.25">
      <c r="A211" t="s">
        <v>1492</v>
      </c>
      <c r="B211" s="6">
        <v>46088</v>
      </c>
      <c r="C211" t="s">
        <v>115</v>
      </c>
      <c r="D211" t="s">
        <v>327</v>
      </c>
      <c r="E211" t="s">
        <v>289</v>
      </c>
      <c r="F211" s="18">
        <v>2389</v>
      </c>
      <c r="G211" t="s">
        <v>252</v>
      </c>
      <c r="H211" t="s">
        <v>243</v>
      </c>
      <c r="I211" t="s">
        <v>244</v>
      </c>
      <c r="J211" t="s">
        <v>1337</v>
      </c>
      <c r="K211" t="s">
        <v>183</v>
      </c>
      <c r="L211" t="s">
        <v>221</v>
      </c>
      <c r="M211" t="s">
        <v>178</v>
      </c>
    </row>
    <row r="212" spans="1:13" x14ac:dyDescent="0.25">
      <c r="A212" t="s">
        <v>1493</v>
      </c>
      <c r="B212" s="6">
        <v>46088</v>
      </c>
      <c r="C212" t="s">
        <v>113</v>
      </c>
      <c r="D212" t="s">
        <v>283</v>
      </c>
      <c r="E212" t="s">
        <v>240</v>
      </c>
      <c r="F212" s="18">
        <v>7393</v>
      </c>
      <c r="G212" t="s">
        <v>252</v>
      </c>
      <c r="H212" t="s">
        <v>266</v>
      </c>
      <c r="I212" t="s">
        <v>267</v>
      </c>
      <c r="J212" t="s">
        <v>1342</v>
      </c>
      <c r="K212" t="s">
        <v>1343</v>
      </c>
      <c r="L212" t="s">
        <v>218</v>
      </c>
      <c r="M212" t="s">
        <v>178</v>
      </c>
    </row>
    <row r="213" spans="1:13" x14ac:dyDescent="0.25">
      <c r="A213" t="s">
        <v>1020</v>
      </c>
      <c r="B213" s="6">
        <v>46088</v>
      </c>
      <c r="C213" t="s">
        <v>117</v>
      </c>
      <c r="D213" t="s">
        <v>250</v>
      </c>
      <c r="E213" t="s">
        <v>240</v>
      </c>
      <c r="F213" s="18">
        <v>500</v>
      </c>
      <c r="G213" t="s">
        <v>252</v>
      </c>
      <c r="H213" t="s">
        <v>253</v>
      </c>
      <c r="I213" t="s">
        <v>244</v>
      </c>
      <c r="J213" t="s">
        <v>1307</v>
      </c>
      <c r="K213" t="s">
        <v>209</v>
      </c>
      <c r="L213" t="s">
        <v>224</v>
      </c>
      <c r="M213" t="s">
        <v>178</v>
      </c>
    </row>
    <row r="214" spans="1:13" x14ac:dyDescent="0.25">
      <c r="A214" t="s">
        <v>1494</v>
      </c>
      <c r="B214" s="6">
        <v>46088</v>
      </c>
      <c r="C214" t="s">
        <v>84</v>
      </c>
      <c r="D214" t="s">
        <v>327</v>
      </c>
      <c r="E214" t="s">
        <v>240</v>
      </c>
      <c r="F214" s="18">
        <v>4929</v>
      </c>
      <c r="G214" t="s">
        <v>252</v>
      </c>
      <c r="H214" t="s">
        <v>253</v>
      </c>
      <c r="I214" t="s">
        <v>244</v>
      </c>
      <c r="J214" t="s">
        <v>1363</v>
      </c>
      <c r="K214" t="s">
        <v>209</v>
      </c>
      <c r="L214" t="s">
        <v>216</v>
      </c>
      <c r="M214" t="s">
        <v>178</v>
      </c>
    </row>
    <row r="215" spans="1:13" x14ac:dyDescent="0.25">
      <c r="A215" t="s">
        <v>1495</v>
      </c>
      <c r="B215" s="6">
        <v>46089</v>
      </c>
      <c r="C215" t="s">
        <v>66</v>
      </c>
      <c r="D215" t="s">
        <v>272</v>
      </c>
      <c r="E215" t="s">
        <v>240</v>
      </c>
      <c r="F215" s="18">
        <v>5502</v>
      </c>
      <c r="G215" t="s">
        <v>252</v>
      </c>
      <c r="H215" t="s">
        <v>260</v>
      </c>
      <c r="I215" t="s">
        <v>244</v>
      </c>
      <c r="J215" t="s">
        <v>1314</v>
      </c>
      <c r="K215" t="s">
        <v>198</v>
      </c>
      <c r="L215" t="s">
        <v>192</v>
      </c>
      <c r="M215" t="s">
        <v>178</v>
      </c>
    </row>
    <row r="216" spans="1:13" x14ac:dyDescent="0.25">
      <c r="A216" t="s">
        <v>1496</v>
      </c>
      <c r="B216" s="6">
        <v>46089</v>
      </c>
      <c r="C216" t="s">
        <v>101</v>
      </c>
      <c r="D216" t="s">
        <v>283</v>
      </c>
      <c r="E216" t="s">
        <v>240</v>
      </c>
      <c r="F216" s="18">
        <v>23630</v>
      </c>
      <c r="G216" t="s">
        <v>252</v>
      </c>
      <c r="H216" t="s">
        <v>243</v>
      </c>
      <c r="I216" t="s">
        <v>244</v>
      </c>
      <c r="J216" t="s">
        <v>1353</v>
      </c>
      <c r="K216" t="s">
        <v>183</v>
      </c>
      <c r="L216" t="s">
        <v>228</v>
      </c>
      <c r="M216" t="s">
        <v>178</v>
      </c>
    </row>
    <row r="217" spans="1:13" x14ac:dyDescent="0.25">
      <c r="A217" t="s">
        <v>1031</v>
      </c>
      <c r="B217" s="6">
        <v>46089</v>
      </c>
      <c r="C217" t="s">
        <v>104</v>
      </c>
      <c r="D217" t="s">
        <v>327</v>
      </c>
      <c r="E217" t="s">
        <v>240</v>
      </c>
      <c r="F217" s="18">
        <v>18167</v>
      </c>
      <c r="G217" t="s">
        <v>252</v>
      </c>
      <c r="H217" t="s">
        <v>266</v>
      </c>
      <c r="I217" t="s">
        <v>267</v>
      </c>
      <c r="J217" t="s">
        <v>1341</v>
      </c>
      <c r="K217" t="s">
        <v>194</v>
      </c>
      <c r="L217" t="s">
        <v>186</v>
      </c>
      <c r="M217" t="s">
        <v>189</v>
      </c>
    </row>
    <row r="218" spans="1:13" x14ac:dyDescent="0.25">
      <c r="A218" t="s">
        <v>1497</v>
      </c>
      <c r="B218" s="6">
        <v>46089</v>
      </c>
      <c r="C218" t="s">
        <v>129</v>
      </c>
      <c r="D218" t="s">
        <v>272</v>
      </c>
      <c r="E218" t="s">
        <v>240</v>
      </c>
      <c r="F218" s="18">
        <v>878</v>
      </c>
      <c r="G218" t="s">
        <v>252</v>
      </c>
      <c r="H218" t="s">
        <v>253</v>
      </c>
      <c r="I218" t="s">
        <v>244</v>
      </c>
      <c r="J218" t="s">
        <v>1348</v>
      </c>
      <c r="K218" t="s">
        <v>209</v>
      </c>
      <c r="L218" t="s">
        <v>217</v>
      </c>
      <c r="M218" t="s">
        <v>189</v>
      </c>
    </row>
    <row r="219" spans="1:13" x14ac:dyDescent="0.25">
      <c r="A219" t="s">
        <v>1498</v>
      </c>
      <c r="B219" s="6">
        <v>46090</v>
      </c>
      <c r="C219" t="s">
        <v>147</v>
      </c>
      <c r="D219" t="s">
        <v>272</v>
      </c>
      <c r="E219" t="s">
        <v>240</v>
      </c>
      <c r="F219" s="18">
        <v>4671</v>
      </c>
      <c r="G219" t="s">
        <v>252</v>
      </c>
      <c r="H219" t="s">
        <v>260</v>
      </c>
      <c r="I219" t="s">
        <v>244</v>
      </c>
      <c r="J219" t="s">
        <v>1314</v>
      </c>
      <c r="K219" t="s">
        <v>198</v>
      </c>
      <c r="L219" t="s">
        <v>210</v>
      </c>
      <c r="M219" t="s">
        <v>178</v>
      </c>
    </row>
    <row r="220" spans="1:13" x14ac:dyDescent="0.25">
      <c r="A220" t="s">
        <v>1499</v>
      </c>
      <c r="B220" s="6">
        <v>46091</v>
      </c>
      <c r="C220" t="s">
        <v>129</v>
      </c>
      <c r="D220" t="s">
        <v>272</v>
      </c>
      <c r="E220" t="s">
        <v>289</v>
      </c>
      <c r="F220" s="18">
        <v>1609</v>
      </c>
      <c r="G220" t="s">
        <v>252</v>
      </c>
      <c r="H220" t="s">
        <v>266</v>
      </c>
      <c r="I220" t="s">
        <v>267</v>
      </c>
      <c r="J220" t="s">
        <v>1329</v>
      </c>
      <c r="K220" t="s">
        <v>209</v>
      </c>
      <c r="L220" t="s">
        <v>217</v>
      </c>
      <c r="M220" t="s">
        <v>189</v>
      </c>
    </row>
    <row r="221" spans="1:13" x14ac:dyDescent="0.25">
      <c r="A221" t="s">
        <v>1045</v>
      </c>
      <c r="B221" s="6">
        <v>46091</v>
      </c>
      <c r="C221" t="s">
        <v>119</v>
      </c>
      <c r="D221" t="s">
        <v>272</v>
      </c>
      <c r="E221" t="s">
        <v>289</v>
      </c>
      <c r="F221" s="18">
        <v>8189</v>
      </c>
      <c r="G221" t="s">
        <v>252</v>
      </c>
      <c r="H221" t="s">
        <v>266</v>
      </c>
      <c r="I221" t="s">
        <v>267</v>
      </c>
      <c r="J221" t="s">
        <v>1329</v>
      </c>
      <c r="K221" t="s">
        <v>209</v>
      </c>
      <c r="L221" t="s">
        <v>227</v>
      </c>
      <c r="M221" t="s">
        <v>199</v>
      </c>
    </row>
    <row r="222" spans="1:13" x14ac:dyDescent="0.25">
      <c r="A222" t="s">
        <v>1500</v>
      </c>
      <c r="B222" s="6">
        <v>46091</v>
      </c>
      <c r="C222" t="s">
        <v>135</v>
      </c>
      <c r="D222" t="s">
        <v>327</v>
      </c>
      <c r="E222" t="s">
        <v>240</v>
      </c>
      <c r="F222" s="18">
        <v>185</v>
      </c>
      <c r="G222" t="s">
        <v>252</v>
      </c>
      <c r="H222" t="s">
        <v>243</v>
      </c>
      <c r="I222" t="s">
        <v>244</v>
      </c>
      <c r="J222" t="s">
        <v>1337</v>
      </c>
      <c r="K222" t="s">
        <v>183</v>
      </c>
      <c r="L222" t="s">
        <v>226</v>
      </c>
      <c r="M222" t="s">
        <v>178</v>
      </c>
    </row>
    <row r="223" spans="1:13" x14ac:dyDescent="0.25">
      <c r="A223" t="s">
        <v>1501</v>
      </c>
      <c r="B223" s="6">
        <v>46091</v>
      </c>
      <c r="C223" t="s">
        <v>123</v>
      </c>
      <c r="D223" t="s">
        <v>283</v>
      </c>
      <c r="E223" t="s">
        <v>240</v>
      </c>
      <c r="F223" s="18">
        <v>7341</v>
      </c>
      <c r="G223" t="s">
        <v>252</v>
      </c>
      <c r="H223" t="s">
        <v>243</v>
      </c>
      <c r="I223" t="s">
        <v>244</v>
      </c>
      <c r="J223" t="s">
        <v>1353</v>
      </c>
      <c r="K223" t="s">
        <v>183</v>
      </c>
      <c r="L223" t="s">
        <v>196</v>
      </c>
      <c r="M223" t="s">
        <v>199</v>
      </c>
    </row>
    <row r="224" spans="1:13" x14ac:dyDescent="0.25">
      <c r="A224" t="s">
        <v>1502</v>
      </c>
      <c r="B224" s="6">
        <v>46091</v>
      </c>
      <c r="C224" t="s">
        <v>66</v>
      </c>
      <c r="D224" t="s">
        <v>272</v>
      </c>
      <c r="E224" t="s">
        <v>240</v>
      </c>
      <c r="F224" s="18">
        <v>2128</v>
      </c>
      <c r="G224" t="s">
        <v>252</v>
      </c>
      <c r="H224" t="s">
        <v>253</v>
      </c>
      <c r="I224" t="s">
        <v>244</v>
      </c>
      <c r="J224" t="s">
        <v>1348</v>
      </c>
      <c r="K224" t="s">
        <v>209</v>
      </c>
      <c r="L224" t="s">
        <v>192</v>
      </c>
      <c r="M224" t="s">
        <v>178</v>
      </c>
    </row>
    <row r="225" spans="1:13" x14ac:dyDescent="0.25">
      <c r="A225" t="s">
        <v>1057</v>
      </c>
      <c r="B225" s="6">
        <v>46091</v>
      </c>
      <c r="C225" t="s">
        <v>101</v>
      </c>
      <c r="D225" t="s">
        <v>283</v>
      </c>
      <c r="E225" t="s">
        <v>240</v>
      </c>
      <c r="F225" s="18">
        <v>678</v>
      </c>
      <c r="G225" t="s">
        <v>252</v>
      </c>
      <c r="H225" t="s">
        <v>266</v>
      </c>
      <c r="I225" t="s">
        <v>267</v>
      </c>
      <c r="J225" t="s">
        <v>1342</v>
      </c>
      <c r="K225" t="s">
        <v>1343</v>
      </c>
      <c r="L225" t="s">
        <v>228</v>
      </c>
      <c r="M225" t="s">
        <v>178</v>
      </c>
    </row>
    <row r="226" spans="1:13" x14ac:dyDescent="0.25">
      <c r="A226" t="s">
        <v>1503</v>
      </c>
      <c r="B226" s="6">
        <v>46091</v>
      </c>
      <c r="C226" t="s">
        <v>123</v>
      </c>
      <c r="D226" t="s">
        <v>283</v>
      </c>
      <c r="E226" t="s">
        <v>240</v>
      </c>
      <c r="F226" s="18">
        <v>2612</v>
      </c>
      <c r="G226" t="s">
        <v>252</v>
      </c>
      <c r="H226" t="s">
        <v>266</v>
      </c>
      <c r="I226" t="s">
        <v>267</v>
      </c>
      <c r="J226" t="s">
        <v>1342</v>
      </c>
      <c r="K226" t="s">
        <v>1343</v>
      </c>
      <c r="L226" t="s">
        <v>196</v>
      </c>
      <c r="M226" t="s">
        <v>199</v>
      </c>
    </row>
    <row r="227" spans="1:13" x14ac:dyDescent="0.25">
      <c r="A227" t="s">
        <v>1504</v>
      </c>
      <c r="B227" s="6">
        <v>46091</v>
      </c>
      <c r="C227" t="s">
        <v>147</v>
      </c>
      <c r="D227" t="s">
        <v>272</v>
      </c>
      <c r="E227" t="s">
        <v>289</v>
      </c>
      <c r="F227" s="18">
        <v>254</v>
      </c>
      <c r="G227" t="s">
        <v>252</v>
      </c>
      <c r="H227" t="s">
        <v>243</v>
      </c>
      <c r="I227" t="s">
        <v>244</v>
      </c>
      <c r="J227" t="s">
        <v>1322</v>
      </c>
      <c r="K227" t="s">
        <v>1323</v>
      </c>
      <c r="L227" t="s">
        <v>210</v>
      </c>
      <c r="M227" t="s">
        <v>178</v>
      </c>
    </row>
    <row r="228" spans="1:13" x14ac:dyDescent="0.25">
      <c r="A228" t="s">
        <v>1505</v>
      </c>
      <c r="B228" s="6">
        <v>46092</v>
      </c>
      <c r="C228" t="s">
        <v>113</v>
      </c>
      <c r="D228" t="s">
        <v>283</v>
      </c>
      <c r="E228" t="s">
        <v>289</v>
      </c>
      <c r="F228" s="18">
        <v>23432</v>
      </c>
      <c r="G228" t="s">
        <v>252</v>
      </c>
      <c r="H228" t="s">
        <v>253</v>
      </c>
      <c r="I228" t="s">
        <v>244</v>
      </c>
      <c r="J228" t="s">
        <v>1320</v>
      </c>
      <c r="K228" t="s">
        <v>209</v>
      </c>
      <c r="L228" t="s">
        <v>218</v>
      </c>
      <c r="M228" t="s">
        <v>178</v>
      </c>
    </row>
    <row r="229" spans="1:13" x14ac:dyDescent="0.25">
      <c r="A229" t="s">
        <v>1069</v>
      </c>
      <c r="B229" s="6">
        <v>46092</v>
      </c>
      <c r="C229" t="s">
        <v>115</v>
      </c>
      <c r="D229" t="s">
        <v>327</v>
      </c>
      <c r="E229" t="s">
        <v>240</v>
      </c>
      <c r="F229" s="18">
        <v>2421</v>
      </c>
      <c r="G229" t="s">
        <v>252</v>
      </c>
      <c r="H229" t="s">
        <v>266</v>
      </c>
      <c r="I229" t="s">
        <v>267</v>
      </c>
      <c r="J229" t="s">
        <v>1341</v>
      </c>
      <c r="K229" t="s">
        <v>194</v>
      </c>
      <c r="L229" t="s">
        <v>221</v>
      </c>
      <c r="M229" t="s">
        <v>178</v>
      </c>
    </row>
    <row r="230" spans="1:13" x14ac:dyDescent="0.25">
      <c r="A230" t="s">
        <v>1506</v>
      </c>
      <c r="B230" s="6">
        <v>46092</v>
      </c>
      <c r="C230" t="s">
        <v>98</v>
      </c>
      <c r="D230" t="s">
        <v>258</v>
      </c>
      <c r="E230" t="s">
        <v>289</v>
      </c>
      <c r="F230" s="18">
        <v>4651</v>
      </c>
      <c r="G230" t="s">
        <v>252</v>
      </c>
      <c r="H230" t="s">
        <v>243</v>
      </c>
      <c r="I230" t="s">
        <v>244</v>
      </c>
      <c r="J230" t="s">
        <v>1334</v>
      </c>
      <c r="K230" t="s">
        <v>177</v>
      </c>
      <c r="L230" t="s">
        <v>225</v>
      </c>
      <c r="M230" t="s">
        <v>189</v>
      </c>
    </row>
    <row r="231" spans="1:13" x14ac:dyDescent="0.25">
      <c r="A231" t="s">
        <v>1507</v>
      </c>
      <c r="B231" s="6">
        <v>46092</v>
      </c>
      <c r="C231" t="s">
        <v>95</v>
      </c>
      <c r="D231" t="s">
        <v>272</v>
      </c>
      <c r="E231" t="s">
        <v>240</v>
      </c>
      <c r="F231" s="18">
        <v>20751</v>
      </c>
      <c r="G231" t="s">
        <v>252</v>
      </c>
      <c r="H231" t="s">
        <v>243</v>
      </c>
      <c r="I231" t="s">
        <v>244</v>
      </c>
      <c r="J231" t="s">
        <v>1322</v>
      </c>
      <c r="K231" t="s">
        <v>1323</v>
      </c>
      <c r="L231" t="s">
        <v>222</v>
      </c>
      <c r="M231" t="s">
        <v>189</v>
      </c>
    </row>
    <row r="232" spans="1:13" x14ac:dyDescent="0.25">
      <c r="A232" t="s">
        <v>1508</v>
      </c>
      <c r="B232" s="6">
        <v>46092</v>
      </c>
      <c r="C232" t="s">
        <v>123</v>
      </c>
      <c r="D232" t="s">
        <v>283</v>
      </c>
      <c r="E232" t="s">
        <v>240</v>
      </c>
      <c r="F232" s="18">
        <v>929</v>
      </c>
      <c r="G232" t="s">
        <v>252</v>
      </c>
      <c r="H232" t="s">
        <v>260</v>
      </c>
      <c r="I232" t="s">
        <v>244</v>
      </c>
      <c r="J232" t="s">
        <v>1345</v>
      </c>
      <c r="K232" t="s">
        <v>203</v>
      </c>
      <c r="L232" t="s">
        <v>196</v>
      </c>
      <c r="M232" t="s">
        <v>199</v>
      </c>
    </row>
    <row r="233" spans="1:13" x14ac:dyDescent="0.25">
      <c r="A233" t="s">
        <v>1081</v>
      </c>
      <c r="B233" s="6">
        <v>46092</v>
      </c>
      <c r="C233" t="s">
        <v>125</v>
      </c>
      <c r="D233" t="s">
        <v>327</v>
      </c>
      <c r="E233" t="s">
        <v>240</v>
      </c>
      <c r="F233" s="18">
        <v>283</v>
      </c>
      <c r="G233" t="s">
        <v>252</v>
      </c>
      <c r="H233" t="s">
        <v>253</v>
      </c>
      <c r="I233" t="s">
        <v>244</v>
      </c>
      <c r="J233" t="s">
        <v>1363</v>
      </c>
      <c r="K233" t="s">
        <v>209</v>
      </c>
      <c r="L233" t="s">
        <v>207</v>
      </c>
      <c r="M233" t="s">
        <v>178</v>
      </c>
    </row>
    <row r="234" spans="1:13" x14ac:dyDescent="0.25">
      <c r="A234" t="s">
        <v>1509</v>
      </c>
      <c r="B234" s="6">
        <v>46093</v>
      </c>
      <c r="C234" t="s">
        <v>133</v>
      </c>
      <c r="D234" t="s">
        <v>283</v>
      </c>
      <c r="E234" t="s">
        <v>240</v>
      </c>
      <c r="F234" s="18">
        <v>1839</v>
      </c>
      <c r="G234" t="s">
        <v>252</v>
      </c>
      <c r="H234" t="s">
        <v>253</v>
      </c>
      <c r="I234" t="s">
        <v>244</v>
      </c>
      <c r="J234" t="s">
        <v>1320</v>
      </c>
      <c r="K234" t="s">
        <v>209</v>
      </c>
      <c r="L234" t="s">
        <v>223</v>
      </c>
      <c r="M234" t="s">
        <v>178</v>
      </c>
    </row>
    <row r="235" spans="1:13" x14ac:dyDescent="0.25">
      <c r="A235" t="s">
        <v>1510</v>
      </c>
      <c r="B235" s="6">
        <v>46093</v>
      </c>
      <c r="C235" t="s">
        <v>113</v>
      </c>
      <c r="D235" t="s">
        <v>283</v>
      </c>
      <c r="E235" t="s">
        <v>240</v>
      </c>
      <c r="F235" s="18">
        <v>1704</v>
      </c>
      <c r="G235" t="s">
        <v>252</v>
      </c>
      <c r="H235" t="s">
        <v>253</v>
      </c>
      <c r="I235" t="s">
        <v>244</v>
      </c>
      <c r="J235" t="s">
        <v>1320</v>
      </c>
      <c r="K235" t="s">
        <v>209</v>
      </c>
      <c r="L235" t="s">
        <v>218</v>
      </c>
      <c r="M235" t="s">
        <v>178</v>
      </c>
    </row>
    <row r="236" spans="1:13" x14ac:dyDescent="0.25">
      <c r="A236" t="s">
        <v>1511</v>
      </c>
      <c r="B236" s="6">
        <v>46093</v>
      </c>
      <c r="C236" t="s">
        <v>131</v>
      </c>
      <c r="D236" t="s">
        <v>258</v>
      </c>
      <c r="E236" t="s">
        <v>240</v>
      </c>
      <c r="F236" s="18">
        <v>6883</v>
      </c>
      <c r="G236" t="s">
        <v>252</v>
      </c>
      <c r="H236" t="s">
        <v>266</v>
      </c>
      <c r="I236" t="s">
        <v>267</v>
      </c>
      <c r="J236" t="s">
        <v>1326</v>
      </c>
      <c r="K236" t="s">
        <v>198</v>
      </c>
      <c r="L236" t="s">
        <v>220</v>
      </c>
      <c r="M236" t="s">
        <v>199</v>
      </c>
    </row>
    <row r="237" spans="1:13" x14ac:dyDescent="0.25">
      <c r="A237" t="s">
        <v>1094</v>
      </c>
      <c r="B237" s="6">
        <v>46094</v>
      </c>
      <c r="C237" t="s">
        <v>129</v>
      </c>
      <c r="D237" t="s">
        <v>272</v>
      </c>
      <c r="E237" t="s">
        <v>240</v>
      </c>
      <c r="F237" s="18">
        <v>3610</v>
      </c>
      <c r="G237" t="s">
        <v>252</v>
      </c>
      <c r="H237" t="s">
        <v>266</v>
      </c>
      <c r="I237" t="s">
        <v>267</v>
      </c>
      <c r="J237" t="s">
        <v>1329</v>
      </c>
      <c r="K237" t="s">
        <v>209</v>
      </c>
      <c r="L237" t="s">
        <v>217</v>
      </c>
      <c r="M237" t="s">
        <v>189</v>
      </c>
    </row>
    <row r="238" spans="1:13" x14ac:dyDescent="0.25">
      <c r="A238" t="s">
        <v>1512</v>
      </c>
      <c r="B238" s="6">
        <v>46094</v>
      </c>
      <c r="C238" t="s">
        <v>91</v>
      </c>
      <c r="D238" t="s">
        <v>250</v>
      </c>
      <c r="E238" t="s">
        <v>240</v>
      </c>
      <c r="F238" s="18">
        <v>20977</v>
      </c>
      <c r="G238" t="s">
        <v>252</v>
      </c>
      <c r="H238" t="s">
        <v>266</v>
      </c>
      <c r="I238" t="s">
        <v>267</v>
      </c>
      <c r="J238" t="s">
        <v>1312</v>
      </c>
      <c r="K238" t="s">
        <v>188</v>
      </c>
      <c r="L238" t="s">
        <v>219</v>
      </c>
      <c r="M238" t="s">
        <v>178</v>
      </c>
    </row>
    <row r="239" spans="1:13" x14ac:dyDescent="0.25">
      <c r="A239" t="s">
        <v>1513</v>
      </c>
      <c r="B239" s="6">
        <v>46094</v>
      </c>
      <c r="C239" t="s">
        <v>129</v>
      </c>
      <c r="D239" t="s">
        <v>272</v>
      </c>
      <c r="E239" t="s">
        <v>240</v>
      </c>
      <c r="F239" s="18">
        <v>12097</v>
      </c>
      <c r="G239" t="s">
        <v>252</v>
      </c>
      <c r="H239" t="s">
        <v>260</v>
      </c>
      <c r="I239" t="s">
        <v>244</v>
      </c>
      <c r="J239" t="s">
        <v>1314</v>
      </c>
      <c r="K239" t="s">
        <v>198</v>
      </c>
      <c r="L239" t="s">
        <v>217</v>
      </c>
      <c r="M239" t="s">
        <v>189</v>
      </c>
    </row>
    <row r="240" spans="1:13" x14ac:dyDescent="0.25">
      <c r="A240" t="s">
        <v>1514</v>
      </c>
      <c r="B240" s="6">
        <v>46094</v>
      </c>
      <c r="C240" t="s">
        <v>125</v>
      </c>
      <c r="D240" t="s">
        <v>327</v>
      </c>
      <c r="E240" t="s">
        <v>240</v>
      </c>
      <c r="F240" s="18">
        <v>2473</v>
      </c>
      <c r="G240" t="s">
        <v>252</v>
      </c>
      <c r="H240" t="s">
        <v>266</v>
      </c>
      <c r="I240" t="s">
        <v>267</v>
      </c>
      <c r="J240" t="s">
        <v>1341</v>
      </c>
      <c r="K240" t="s">
        <v>194</v>
      </c>
      <c r="L240" t="s">
        <v>207</v>
      </c>
      <c r="M240" t="s">
        <v>178</v>
      </c>
    </row>
    <row r="241" spans="1:13" x14ac:dyDescent="0.25">
      <c r="A241" t="s">
        <v>1107</v>
      </c>
      <c r="B241" s="6">
        <v>46094</v>
      </c>
      <c r="C241" t="s">
        <v>78</v>
      </c>
      <c r="D241" t="s">
        <v>283</v>
      </c>
      <c r="E241" t="s">
        <v>289</v>
      </c>
      <c r="F241" s="18">
        <v>8845</v>
      </c>
      <c r="G241" t="s">
        <v>252</v>
      </c>
      <c r="H241" t="s">
        <v>266</v>
      </c>
      <c r="I241" t="s">
        <v>267</v>
      </c>
      <c r="J241" t="s">
        <v>1342</v>
      </c>
      <c r="K241" t="s">
        <v>1343</v>
      </c>
      <c r="L241" t="s">
        <v>212</v>
      </c>
      <c r="M241" t="s">
        <v>189</v>
      </c>
    </row>
    <row r="242" spans="1:13" x14ac:dyDescent="0.25">
      <c r="A242" t="s">
        <v>1515</v>
      </c>
      <c r="B242" s="6">
        <v>46094</v>
      </c>
      <c r="C242" t="s">
        <v>119</v>
      </c>
      <c r="D242" t="s">
        <v>272</v>
      </c>
      <c r="E242" t="s">
        <v>240</v>
      </c>
      <c r="F242" s="18">
        <v>1177</v>
      </c>
      <c r="G242" t="s">
        <v>252</v>
      </c>
      <c r="H242" t="s">
        <v>243</v>
      </c>
      <c r="I242" t="s">
        <v>244</v>
      </c>
      <c r="J242" t="s">
        <v>1322</v>
      </c>
      <c r="K242" t="s">
        <v>1323</v>
      </c>
      <c r="L242" t="s">
        <v>227</v>
      </c>
      <c r="M242" t="s">
        <v>199</v>
      </c>
    </row>
    <row r="243" spans="1:13" x14ac:dyDescent="0.25">
      <c r="A243" t="s">
        <v>1516</v>
      </c>
      <c r="B243" s="6">
        <v>46094</v>
      </c>
      <c r="C243" t="s">
        <v>123</v>
      </c>
      <c r="D243" t="s">
        <v>283</v>
      </c>
      <c r="E243" t="s">
        <v>289</v>
      </c>
      <c r="F243" s="18">
        <v>10728</v>
      </c>
      <c r="G243" t="s">
        <v>252</v>
      </c>
      <c r="H243" t="s">
        <v>260</v>
      </c>
      <c r="I243" t="s">
        <v>244</v>
      </c>
      <c r="J243" t="s">
        <v>1345</v>
      </c>
      <c r="K243" t="s">
        <v>203</v>
      </c>
      <c r="L243" t="s">
        <v>196</v>
      </c>
      <c r="M243" t="s">
        <v>199</v>
      </c>
    </row>
    <row r="244" spans="1:13" x14ac:dyDescent="0.25">
      <c r="A244" t="s">
        <v>1517</v>
      </c>
      <c r="B244" s="6">
        <v>46095</v>
      </c>
      <c r="C244" t="s">
        <v>95</v>
      </c>
      <c r="D244" t="s">
        <v>272</v>
      </c>
      <c r="E244" t="s">
        <v>240</v>
      </c>
      <c r="F244" s="18">
        <v>21413</v>
      </c>
      <c r="G244" t="s">
        <v>252</v>
      </c>
      <c r="H244" t="s">
        <v>253</v>
      </c>
      <c r="I244" t="s">
        <v>244</v>
      </c>
      <c r="J244" t="s">
        <v>1348</v>
      </c>
      <c r="K244" t="s">
        <v>209</v>
      </c>
      <c r="L244" t="s">
        <v>222</v>
      </c>
      <c r="M244" t="s">
        <v>189</v>
      </c>
    </row>
    <row r="245" spans="1:13" x14ac:dyDescent="0.25">
      <c r="A245" t="s">
        <v>1118</v>
      </c>
      <c r="B245" s="6">
        <v>46095</v>
      </c>
      <c r="C245" t="s">
        <v>78</v>
      </c>
      <c r="D245" t="s">
        <v>283</v>
      </c>
      <c r="E245" t="s">
        <v>240</v>
      </c>
      <c r="F245" s="18">
        <v>603</v>
      </c>
      <c r="G245" t="s">
        <v>252</v>
      </c>
      <c r="H245" t="s">
        <v>266</v>
      </c>
      <c r="I245" t="s">
        <v>267</v>
      </c>
      <c r="J245" t="s">
        <v>1342</v>
      </c>
      <c r="K245" t="s">
        <v>1343</v>
      </c>
      <c r="L245" t="s">
        <v>212</v>
      </c>
      <c r="M245" t="s">
        <v>189</v>
      </c>
    </row>
    <row r="246" spans="1:13" x14ac:dyDescent="0.25">
      <c r="A246" t="s">
        <v>1518</v>
      </c>
      <c r="B246" s="6">
        <v>46096</v>
      </c>
      <c r="C246" t="s">
        <v>95</v>
      </c>
      <c r="D246" t="s">
        <v>272</v>
      </c>
      <c r="E246" t="s">
        <v>240</v>
      </c>
      <c r="F246" s="18">
        <v>10846</v>
      </c>
      <c r="G246" t="s">
        <v>252</v>
      </c>
      <c r="H246" t="s">
        <v>266</v>
      </c>
      <c r="I246" t="s">
        <v>267</v>
      </c>
      <c r="J246" t="s">
        <v>1329</v>
      </c>
      <c r="K246" t="s">
        <v>209</v>
      </c>
      <c r="L246" t="s">
        <v>222</v>
      </c>
      <c r="M246" t="s">
        <v>189</v>
      </c>
    </row>
    <row r="247" spans="1:13" x14ac:dyDescent="0.25">
      <c r="A247" t="s">
        <v>1519</v>
      </c>
      <c r="B247" s="6">
        <v>46096</v>
      </c>
      <c r="C247" t="s">
        <v>123</v>
      </c>
      <c r="D247" t="s">
        <v>283</v>
      </c>
      <c r="E247" t="s">
        <v>240</v>
      </c>
      <c r="F247" s="18">
        <v>1619</v>
      </c>
      <c r="G247" t="s">
        <v>252</v>
      </c>
      <c r="H247" t="s">
        <v>253</v>
      </c>
      <c r="I247" t="s">
        <v>244</v>
      </c>
      <c r="J247" t="s">
        <v>1320</v>
      </c>
      <c r="K247" t="s">
        <v>209</v>
      </c>
      <c r="L247" t="s">
        <v>196</v>
      </c>
      <c r="M247" t="s">
        <v>199</v>
      </c>
    </row>
    <row r="248" spans="1:13" x14ac:dyDescent="0.25">
      <c r="A248" t="s">
        <v>1520</v>
      </c>
      <c r="B248" s="6">
        <v>46096</v>
      </c>
      <c r="C248" t="s">
        <v>84</v>
      </c>
      <c r="D248" t="s">
        <v>327</v>
      </c>
      <c r="E248" t="s">
        <v>240</v>
      </c>
      <c r="F248" s="18">
        <v>17483</v>
      </c>
      <c r="G248" t="s">
        <v>252</v>
      </c>
      <c r="H248" t="s">
        <v>243</v>
      </c>
      <c r="I248" t="s">
        <v>244</v>
      </c>
      <c r="J248" t="s">
        <v>1337</v>
      </c>
      <c r="K248" t="s">
        <v>183</v>
      </c>
      <c r="L248" t="s">
        <v>216</v>
      </c>
      <c r="M248" t="s">
        <v>178</v>
      </c>
    </row>
    <row r="249" spans="1:13" x14ac:dyDescent="0.25">
      <c r="A249" t="s">
        <v>1131</v>
      </c>
      <c r="B249" s="6">
        <v>46096</v>
      </c>
      <c r="C249" t="s">
        <v>72</v>
      </c>
      <c r="D249" t="s">
        <v>258</v>
      </c>
      <c r="E249" t="s">
        <v>289</v>
      </c>
      <c r="F249" s="18">
        <v>6424</v>
      </c>
      <c r="G249" t="s">
        <v>252</v>
      </c>
      <c r="H249" t="s">
        <v>266</v>
      </c>
      <c r="I249" t="s">
        <v>267</v>
      </c>
      <c r="J249" t="s">
        <v>1326</v>
      </c>
      <c r="K249" t="s">
        <v>198</v>
      </c>
      <c r="L249" t="s">
        <v>204</v>
      </c>
      <c r="M249" t="s">
        <v>189</v>
      </c>
    </row>
    <row r="250" spans="1:13" x14ac:dyDescent="0.25">
      <c r="A250" t="s">
        <v>1521</v>
      </c>
      <c r="B250" s="6">
        <v>46097</v>
      </c>
      <c r="C250" t="s">
        <v>72</v>
      </c>
      <c r="D250" t="s">
        <v>258</v>
      </c>
      <c r="E250" t="s">
        <v>240</v>
      </c>
      <c r="F250" s="18">
        <v>1290</v>
      </c>
      <c r="G250" t="s">
        <v>252</v>
      </c>
      <c r="H250" t="s">
        <v>260</v>
      </c>
      <c r="I250" t="s">
        <v>244</v>
      </c>
      <c r="J250" t="s">
        <v>1310</v>
      </c>
      <c r="K250" t="s">
        <v>188</v>
      </c>
      <c r="L250" t="s">
        <v>204</v>
      </c>
      <c r="M250" t="s">
        <v>189</v>
      </c>
    </row>
    <row r="251" spans="1:13" x14ac:dyDescent="0.25">
      <c r="A251" t="s">
        <v>1522</v>
      </c>
      <c r="B251" s="6">
        <v>46097</v>
      </c>
      <c r="C251" t="s">
        <v>78</v>
      </c>
      <c r="D251" t="s">
        <v>283</v>
      </c>
      <c r="E251" t="s">
        <v>240</v>
      </c>
      <c r="F251" s="18">
        <v>2596</v>
      </c>
      <c r="G251" t="s">
        <v>252</v>
      </c>
      <c r="H251" t="s">
        <v>253</v>
      </c>
      <c r="I251" t="s">
        <v>244</v>
      </c>
      <c r="J251" t="s">
        <v>1320</v>
      </c>
      <c r="K251" t="s">
        <v>209</v>
      </c>
      <c r="L251" t="s">
        <v>212</v>
      </c>
      <c r="M251" t="s">
        <v>189</v>
      </c>
    </row>
    <row r="252" spans="1:13" x14ac:dyDescent="0.25">
      <c r="A252" t="s">
        <v>1523</v>
      </c>
      <c r="B252" s="6">
        <v>46097</v>
      </c>
      <c r="C252" t="s">
        <v>123</v>
      </c>
      <c r="D252" t="s">
        <v>283</v>
      </c>
      <c r="E252" t="s">
        <v>289</v>
      </c>
      <c r="F252" s="18">
        <v>1310</v>
      </c>
      <c r="G252" t="s">
        <v>252</v>
      </c>
      <c r="H252" t="s">
        <v>253</v>
      </c>
      <c r="I252" t="s">
        <v>244</v>
      </c>
      <c r="J252" t="s">
        <v>1320</v>
      </c>
      <c r="K252" t="s">
        <v>209</v>
      </c>
      <c r="L252" t="s">
        <v>196</v>
      </c>
      <c r="M252" t="s">
        <v>199</v>
      </c>
    </row>
    <row r="253" spans="1:13" x14ac:dyDescent="0.25">
      <c r="A253" t="s">
        <v>1144</v>
      </c>
      <c r="B253" s="6">
        <v>46097</v>
      </c>
      <c r="C253" t="s">
        <v>101</v>
      </c>
      <c r="D253" t="s">
        <v>283</v>
      </c>
      <c r="E253" t="s">
        <v>289</v>
      </c>
      <c r="F253" s="18">
        <v>21562</v>
      </c>
      <c r="G253" t="s">
        <v>252</v>
      </c>
      <c r="H253" t="s">
        <v>243</v>
      </c>
      <c r="I253" t="s">
        <v>244</v>
      </c>
      <c r="J253" t="s">
        <v>1353</v>
      </c>
      <c r="K253" t="s">
        <v>183</v>
      </c>
      <c r="L253" t="s">
        <v>228</v>
      </c>
      <c r="M253" t="s">
        <v>178</v>
      </c>
    </row>
    <row r="254" spans="1:13" x14ac:dyDescent="0.25">
      <c r="A254" t="s">
        <v>1524</v>
      </c>
      <c r="B254" s="6">
        <v>46097</v>
      </c>
      <c r="C254" t="s">
        <v>125</v>
      </c>
      <c r="D254" t="s">
        <v>327</v>
      </c>
      <c r="E254" t="s">
        <v>289</v>
      </c>
      <c r="F254" s="18">
        <v>6504</v>
      </c>
      <c r="G254" t="s">
        <v>252</v>
      </c>
      <c r="H254" t="s">
        <v>266</v>
      </c>
      <c r="I254" t="s">
        <v>267</v>
      </c>
      <c r="J254" t="s">
        <v>1341</v>
      </c>
      <c r="K254" t="s">
        <v>194</v>
      </c>
      <c r="L254" t="s">
        <v>207</v>
      </c>
      <c r="M254" t="s">
        <v>178</v>
      </c>
    </row>
    <row r="255" spans="1:13" x14ac:dyDescent="0.25">
      <c r="A255" t="s">
        <v>1525</v>
      </c>
      <c r="B255" s="6">
        <v>46098</v>
      </c>
      <c r="C255" t="s">
        <v>78</v>
      </c>
      <c r="D255" t="s">
        <v>283</v>
      </c>
      <c r="E255" t="s">
        <v>289</v>
      </c>
      <c r="F255" s="18">
        <v>3371</v>
      </c>
      <c r="G255" t="s">
        <v>252</v>
      </c>
      <c r="H255" t="s">
        <v>243</v>
      </c>
      <c r="I255" t="s">
        <v>244</v>
      </c>
      <c r="J255" t="s">
        <v>1353</v>
      </c>
      <c r="K255" t="s">
        <v>183</v>
      </c>
      <c r="L255" t="s">
        <v>212</v>
      </c>
      <c r="M255" t="s">
        <v>189</v>
      </c>
    </row>
    <row r="256" spans="1:13" x14ac:dyDescent="0.25">
      <c r="A256" t="s">
        <v>1526</v>
      </c>
      <c r="B256" s="6">
        <v>46098</v>
      </c>
      <c r="C256" t="s">
        <v>133</v>
      </c>
      <c r="D256" t="s">
        <v>283</v>
      </c>
      <c r="E256" t="s">
        <v>240</v>
      </c>
      <c r="F256" s="18">
        <v>1557</v>
      </c>
      <c r="G256" t="s">
        <v>252</v>
      </c>
      <c r="H256" t="s">
        <v>266</v>
      </c>
      <c r="I256" t="s">
        <v>267</v>
      </c>
      <c r="J256" t="s">
        <v>1342</v>
      </c>
      <c r="K256" t="s">
        <v>1343</v>
      </c>
      <c r="L256" t="s">
        <v>223</v>
      </c>
      <c r="M256" t="s">
        <v>178</v>
      </c>
    </row>
    <row r="257" spans="1:13" x14ac:dyDescent="0.25">
      <c r="A257" t="s">
        <v>1156</v>
      </c>
      <c r="B257" s="6">
        <v>46098</v>
      </c>
      <c r="C257" t="s">
        <v>129</v>
      </c>
      <c r="D257" t="s">
        <v>272</v>
      </c>
      <c r="E257" t="s">
        <v>289</v>
      </c>
      <c r="F257" s="18">
        <v>1780</v>
      </c>
      <c r="G257" t="s">
        <v>252</v>
      </c>
      <c r="H257" t="s">
        <v>243</v>
      </c>
      <c r="I257" t="s">
        <v>244</v>
      </c>
      <c r="J257" t="s">
        <v>1322</v>
      </c>
      <c r="K257" t="s">
        <v>1323</v>
      </c>
      <c r="L257" t="s">
        <v>217</v>
      </c>
      <c r="M257" t="s">
        <v>189</v>
      </c>
    </row>
    <row r="258" spans="1:13" x14ac:dyDescent="0.25">
      <c r="A258" t="s">
        <v>1527</v>
      </c>
      <c r="B258" s="6">
        <v>46099</v>
      </c>
      <c r="C258" t="s">
        <v>91</v>
      </c>
      <c r="D258" t="s">
        <v>250</v>
      </c>
      <c r="E258" t="s">
        <v>240</v>
      </c>
      <c r="F258" s="18">
        <v>1917</v>
      </c>
      <c r="G258" t="s">
        <v>252</v>
      </c>
      <c r="H258" t="s">
        <v>243</v>
      </c>
      <c r="I258" t="s">
        <v>244</v>
      </c>
      <c r="J258" t="s">
        <v>1304</v>
      </c>
      <c r="K258" t="s">
        <v>177</v>
      </c>
      <c r="L258" t="s">
        <v>219</v>
      </c>
      <c r="M258" t="s">
        <v>178</v>
      </c>
    </row>
    <row r="259" spans="1:13" x14ac:dyDescent="0.25">
      <c r="A259" t="s">
        <v>1528</v>
      </c>
      <c r="B259" s="6">
        <v>46099</v>
      </c>
      <c r="C259" t="s">
        <v>131</v>
      </c>
      <c r="D259" t="s">
        <v>258</v>
      </c>
      <c r="E259" t="s">
        <v>289</v>
      </c>
      <c r="F259" s="18">
        <v>4869</v>
      </c>
      <c r="G259" t="s">
        <v>252</v>
      </c>
      <c r="H259" t="s">
        <v>253</v>
      </c>
      <c r="I259" t="s">
        <v>244</v>
      </c>
      <c r="J259" t="s">
        <v>1378</v>
      </c>
      <c r="K259" t="s">
        <v>194</v>
      </c>
      <c r="L259" t="s">
        <v>220</v>
      </c>
      <c r="M259" t="s">
        <v>199</v>
      </c>
    </row>
    <row r="260" spans="1:13" x14ac:dyDescent="0.25">
      <c r="A260" t="s">
        <v>1529</v>
      </c>
      <c r="B260" s="6">
        <v>46099</v>
      </c>
      <c r="C260" t="s">
        <v>113</v>
      </c>
      <c r="D260" t="s">
        <v>283</v>
      </c>
      <c r="E260" t="s">
        <v>289</v>
      </c>
      <c r="F260" s="18">
        <v>4682</v>
      </c>
      <c r="G260" t="s">
        <v>252</v>
      </c>
      <c r="H260" t="s">
        <v>243</v>
      </c>
      <c r="I260" t="s">
        <v>244</v>
      </c>
      <c r="J260" t="s">
        <v>1353</v>
      </c>
      <c r="K260" t="s">
        <v>183</v>
      </c>
      <c r="L260" t="s">
        <v>218</v>
      </c>
      <c r="M260" t="s">
        <v>178</v>
      </c>
    </row>
    <row r="261" spans="1:13" x14ac:dyDescent="0.25">
      <c r="A261" t="s">
        <v>1169</v>
      </c>
      <c r="B261" s="6">
        <v>46099</v>
      </c>
      <c r="C261" t="s">
        <v>115</v>
      </c>
      <c r="D261" t="s">
        <v>327</v>
      </c>
      <c r="E261" t="s">
        <v>289</v>
      </c>
      <c r="F261" s="18">
        <v>1977</v>
      </c>
      <c r="G261" t="s">
        <v>252</v>
      </c>
      <c r="H261" t="s">
        <v>260</v>
      </c>
      <c r="I261" t="s">
        <v>244</v>
      </c>
      <c r="J261" t="s">
        <v>1355</v>
      </c>
      <c r="K261" t="s">
        <v>203</v>
      </c>
      <c r="L261" t="s">
        <v>221</v>
      </c>
      <c r="M261" t="s">
        <v>178</v>
      </c>
    </row>
    <row r="262" spans="1:13" x14ac:dyDescent="0.25">
      <c r="A262" t="s">
        <v>1530</v>
      </c>
      <c r="B262" s="6">
        <v>46099</v>
      </c>
      <c r="C262" t="s">
        <v>133</v>
      </c>
      <c r="D262" t="s">
        <v>283</v>
      </c>
      <c r="E262" t="s">
        <v>240</v>
      </c>
      <c r="F262" s="18">
        <v>10676</v>
      </c>
      <c r="G262" t="s">
        <v>252</v>
      </c>
      <c r="H262" t="s">
        <v>260</v>
      </c>
      <c r="I262" t="s">
        <v>244</v>
      </c>
      <c r="J262" t="s">
        <v>1345</v>
      </c>
      <c r="K262" t="s">
        <v>203</v>
      </c>
      <c r="L262" t="s">
        <v>223</v>
      </c>
      <c r="M262" t="s">
        <v>178</v>
      </c>
    </row>
    <row r="263" spans="1:13" x14ac:dyDescent="0.25">
      <c r="A263" t="s">
        <v>1531</v>
      </c>
      <c r="B263" s="6">
        <v>46100</v>
      </c>
      <c r="C263" t="s">
        <v>66</v>
      </c>
      <c r="D263" t="s">
        <v>272</v>
      </c>
      <c r="E263" t="s">
        <v>240</v>
      </c>
      <c r="F263" s="18">
        <v>792</v>
      </c>
      <c r="G263" t="s">
        <v>252</v>
      </c>
      <c r="H263" t="s">
        <v>266</v>
      </c>
      <c r="I263" t="s">
        <v>267</v>
      </c>
      <c r="J263" t="s">
        <v>1329</v>
      </c>
      <c r="K263" t="s">
        <v>209</v>
      </c>
      <c r="L263" t="s">
        <v>192</v>
      </c>
      <c r="M263" t="s">
        <v>178</v>
      </c>
    </row>
    <row r="264" spans="1:13" x14ac:dyDescent="0.25">
      <c r="A264" t="s">
        <v>1532</v>
      </c>
      <c r="B264" s="6">
        <v>46100</v>
      </c>
      <c r="C264" t="s">
        <v>133</v>
      </c>
      <c r="D264" t="s">
        <v>283</v>
      </c>
      <c r="E264" t="s">
        <v>240</v>
      </c>
      <c r="F264" s="18">
        <v>1818</v>
      </c>
      <c r="G264" t="s">
        <v>252</v>
      </c>
      <c r="H264" t="s">
        <v>243</v>
      </c>
      <c r="I264" t="s">
        <v>244</v>
      </c>
      <c r="J264" t="s">
        <v>1353</v>
      </c>
      <c r="K264" t="s">
        <v>183</v>
      </c>
      <c r="L264" t="s">
        <v>223</v>
      </c>
      <c r="M264" t="s">
        <v>178</v>
      </c>
    </row>
    <row r="265" spans="1:13" x14ac:dyDescent="0.25">
      <c r="A265" t="s">
        <v>1181</v>
      </c>
      <c r="B265" s="6">
        <v>46100</v>
      </c>
      <c r="C265" t="s">
        <v>117</v>
      </c>
      <c r="D265" t="s">
        <v>250</v>
      </c>
      <c r="E265" t="s">
        <v>240</v>
      </c>
      <c r="F265" s="18">
        <v>12574</v>
      </c>
      <c r="G265" t="s">
        <v>252</v>
      </c>
      <c r="H265" t="s">
        <v>253</v>
      </c>
      <c r="I265" t="s">
        <v>244</v>
      </c>
      <c r="J265" t="s">
        <v>1307</v>
      </c>
      <c r="K265" t="s">
        <v>209</v>
      </c>
      <c r="L265" t="s">
        <v>224</v>
      </c>
      <c r="M265" t="s">
        <v>178</v>
      </c>
    </row>
    <row r="266" spans="1:13" x14ac:dyDescent="0.25">
      <c r="A266" t="s">
        <v>1533</v>
      </c>
      <c r="B266" s="6">
        <v>46101</v>
      </c>
      <c r="C266" t="s">
        <v>125</v>
      </c>
      <c r="D266" t="s">
        <v>327</v>
      </c>
      <c r="E266" t="s">
        <v>240</v>
      </c>
      <c r="F266" s="18">
        <v>3238</v>
      </c>
      <c r="G266" t="s">
        <v>252</v>
      </c>
      <c r="H266" t="s">
        <v>243</v>
      </c>
      <c r="I266" t="s">
        <v>244</v>
      </c>
      <c r="J266" t="s">
        <v>1337</v>
      </c>
      <c r="K266" t="s">
        <v>183</v>
      </c>
      <c r="L266" t="s">
        <v>207</v>
      </c>
      <c r="M266" t="s">
        <v>178</v>
      </c>
    </row>
    <row r="267" spans="1:13" x14ac:dyDescent="0.25">
      <c r="A267" t="s">
        <v>1534</v>
      </c>
      <c r="B267" s="6">
        <v>46102</v>
      </c>
      <c r="C267" t="s">
        <v>121</v>
      </c>
      <c r="D267" t="s">
        <v>258</v>
      </c>
      <c r="E267" t="s">
        <v>240</v>
      </c>
      <c r="F267" s="18">
        <v>8182</v>
      </c>
      <c r="G267" t="s">
        <v>252</v>
      </c>
      <c r="H267" t="s">
        <v>253</v>
      </c>
      <c r="I267" t="s">
        <v>244</v>
      </c>
      <c r="J267" t="s">
        <v>1378</v>
      </c>
      <c r="K267" t="s">
        <v>194</v>
      </c>
      <c r="L267" t="s">
        <v>181</v>
      </c>
      <c r="M267" t="s">
        <v>178</v>
      </c>
    </row>
    <row r="268" spans="1:13" x14ac:dyDescent="0.25">
      <c r="A268" t="s">
        <v>1535</v>
      </c>
      <c r="B268" s="6">
        <v>46102</v>
      </c>
      <c r="C268" t="s">
        <v>111</v>
      </c>
      <c r="D268" t="s">
        <v>258</v>
      </c>
      <c r="E268" t="s">
        <v>240</v>
      </c>
      <c r="F268" s="18">
        <v>17144</v>
      </c>
      <c r="G268" t="s">
        <v>252</v>
      </c>
      <c r="H268" t="s">
        <v>253</v>
      </c>
      <c r="I268" t="s">
        <v>244</v>
      </c>
      <c r="J268" t="s">
        <v>1378</v>
      </c>
      <c r="K268" t="s">
        <v>194</v>
      </c>
      <c r="L268" t="s">
        <v>215</v>
      </c>
      <c r="M268" t="s">
        <v>199</v>
      </c>
    </row>
    <row r="269" spans="1:13" x14ac:dyDescent="0.25">
      <c r="A269" t="s">
        <v>1196</v>
      </c>
      <c r="B269" s="6">
        <v>46102</v>
      </c>
      <c r="C269" t="s">
        <v>113</v>
      </c>
      <c r="D269" t="s">
        <v>283</v>
      </c>
      <c r="E269" t="s">
        <v>289</v>
      </c>
      <c r="F269" s="18">
        <v>12777</v>
      </c>
      <c r="G269" t="s">
        <v>252</v>
      </c>
      <c r="H269" t="s">
        <v>266</v>
      </c>
      <c r="I269" t="s">
        <v>267</v>
      </c>
      <c r="J269" t="s">
        <v>1342</v>
      </c>
      <c r="K269" t="s">
        <v>1343</v>
      </c>
      <c r="L269" t="s">
        <v>218</v>
      </c>
      <c r="M269" t="s">
        <v>178</v>
      </c>
    </row>
    <row r="270" spans="1:13" x14ac:dyDescent="0.25">
      <c r="A270" t="s">
        <v>1536</v>
      </c>
      <c r="B270" s="6">
        <v>46103</v>
      </c>
      <c r="C270" t="s">
        <v>147</v>
      </c>
      <c r="D270" t="s">
        <v>272</v>
      </c>
      <c r="E270" t="s">
        <v>240</v>
      </c>
      <c r="F270" s="18">
        <v>689</v>
      </c>
      <c r="G270" t="s">
        <v>252</v>
      </c>
      <c r="H270" t="s">
        <v>266</v>
      </c>
      <c r="I270" t="s">
        <v>267</v>
      </c>
      <c r="J270" t="s">
        <v>1329</v>
      </c>
      <c r="K270" t="s">
        <v>209</v>
      </c>
      <c r="L270" t="s">
        <v>210</v>
      </c>
      <c r="M270" t="s">
        <v>178</v>
      </c>
    </row>
    <row r="271" spans="1:13" x14ac:dyDescent="0.25">
      <c r="A271" t="s">
        <v>1537</v>
      </c>
      <c r="B271" s="6">
        <v>46103</v>
      </c>
      <c r="C271" t="s">
        <v>121</v>
      </c>
      <c r="D271" t="s">
        <v>258</v>
      </c>
      <c r="E271" t="s">
        <v>289</v>
      </c>
      <c r="F271" s="18">
        <v>1853</v>
      </c>
      <c r="G271" t="s">
        <v>252</v>
      </c>
      <c r="H271" t="s">
        <v>243</v>
      </c>
      <c r="I271" t="s">
        <v>244</v>
      </c>
      <c r="J271" t="s">
        <v>1334</v>
      </c>
      <c r="K271" t="s">
        <v>177</v>
      </c>
      <c r="L271" t="s">
        <v>181</v>
      </c>
      <c r="M271" t="s">
        <v>178</v>
      </c>
    </row>
    <row r="272" spans="1:13" x14ac:dyDescent="0.25">
      <c r="A272" t="s">
        <v>1538</v>
      </c>
      <c r="B272" s="6">
        <v>46103</v>
      </c>
      <c r="C272" t="s">
        <v>135</v>
      </c>
      <c r="D272" t="s">
        <v>327</v>
      </c>
      <c r="E272" t="s">
        <v>289</v>
      </c>
      <c r="F272" s="18">
        <v>2389</v>
      </c>
      <c r="G272" t="s">
        <v>252</v>
      </c>
      <c r="H272" t="s">
        <v>253</v>
      </c>
      <c r="I272" t="s">
        <v>244</v>
      </c>
      <c r="J272" t="s">
        <v>1363</v>
      </c>
      <c r="K272" t="s">
        <v>209</v>
      </c>
      <c r="L272" t="s">
        <v>226</v>
      </c>
      <c r="M272" t="s">
        <v>178</v>
      </c>
    </row>
    <row r="273" spans="1:13" x14ac:dyDescent="0.25">
      <c r="A273" t="s">
        <v>1209</v>
      </c>
      <c r="B273" s="6">
        <v>46104</v>
      </c>
      <c r="C273" t="s">
        <v>117</v>
      </c>
      <c r="D273" t="s">
        <v>250</v>
      </c>
      <c r="E273" t="s">
        <v>289</v>
      </c>
      <c r="F273" s="18">
        <v>6013</v>
      </c>
      <c r="G273" t="s">
        <v>252</v>
      </c>
      <c r="H273" t="s">
        <v>266</v>
      </c>
      <c r="I273" t="s">
        <v>267</v>
      </c>
      <c r="J273" t="s">
        <v>1312</v>
      </c>
      <c r="K273" t="s">
        <v>188</v>
      </c>
      <c r="L273" t="s">
        <v>224</v>
      </c>
      <c r="M273" t="s">
        <v>178</v>
      </c>
    </row>
    <row r="274" spans="1:13" x14ac:dyDescent="0.25">
      <c r="A274" t="s">
        <v>1539</v>
      </c>
      <c r="B274" s="6">
        <v>46104</v>
      </c>
      <c r="C274" t="s">
        <v>59</v>
      </c>
      <c r="D274" t="s">
        <v>250</v>
      </c>
      <c r="E274" t="s">
        <v>289</v>
      </c>
      <c r="F274" s="18">
        <v>16373</v>
      </c>
      <c r="G274" t="s">
        <v>252</v>
      </c>
      <c r="H274" t="s">
        <v>260</v>
      </c>
      <c r="I274" t="s">
        <v>244</v>
      </c>
      <c r="J274" t="s">
        <v>1317</v>
      </c>
      <c r="K274" t="s">
        <v>206</v>
      </c>
      <c r="L274" t="s">
        <v>175</v>
      </c>
      <c r="M274" t="s">
        <v>178</v>
      </c>
    </row>
    <row r="275" spans="1:13" x14ac:dyDescent="0.25">
      <c r="A275" t="s">
        <v>1540</v>
      </c>
      <c r="B275" s="6">
        <v>46104</v>
      </c>
      <c r="C275" t="s">
        <v>123</v>
      </c>
      <c r="D275" t="s">
        <v>283</v>
      </c>
      <c r="E275" t="s">
        <v>240</v>
      </c>
      <c r="F275" s="18">
        <v>2037</v>
      </c>
      <c r="G275" t="s">
        <v>252</v>
      </c>
      <c r="H275" t="s">
        <v>266</v>
      </c>
      <c r="I275" t="s">
        <v>267</v>
      </c>
      <c r="J275" t="s">
        <v>1342</v>
      </c>
      <c r="K275" t="s">
        <v>1343</v>
      </c>
      <c r="L275" t="s">
        <v>196</v>
      </c>
      <c r="M275" t="s">
        <v>199</v>
      </c>
    </row>
    <row r="276" spans="1:13" x14ac:dyDescent="0.25">
      <c r="A276" t="s">
        <v>1541</v>
      </c>
      <c r="B276" s="6">
        <v>46105</v>
      </c>
      <c r="C276" t="s">
        <v>101</v>
      </c>
      <c r="D276" t="s">
        <v>283</v>
      </c>
      <c r="E276" t="s">
        <v>240</v>
      </c>
      <c r="F276" s="18">
        <v>5056</v>
      </c>
      <c r="G276" t="s">
        <v>252</v>
      </c>
      <c r="H276" t="s">
        <v>253</v>
      </c>
      <c r="I276" t="s">
        <v>244</v>
      </c>
      <c r="J276" t="s">
        <v>1320</v>
      </c>
      <c r="K276" t="s">
        <v>209</v>
      </c>
      <c r="L276" t="s">
        <v>228</v>
      </c>
      <c r="M276" t="s">
        <v>178</v>
      </c>
    </row>
    <row r="277" spans="1:13" x14ac:dyDescent="0.25">
      <c r="A277" t="s">
        <v>1222</v>
      </c>
      <c r="B277" s="6">
        <v>46105</v>
      </c>
      <c r="C277" t="s">
        <v>147</v>
      </c>
      <c r="D277" t="s">
        <v>272</v>
      </c>
      <c r="E277" t="s">
        <v>240</v>
      </c>
      <c r="F277" s="18">
        <v>760</v>
      </c>
      <c r="G277" t="s">
        <v>252</v>
      </c>
      <c r="H277" t="s">
        <v>260</v>
      </c>
      <c r="I277" t="s">
        <v>244</v>
      </c>
      <c r="J277" t="s">
        <v>1314</v>
      </c>
      <c r="K277" t="s">
        <v>198</v>
      </c>
      <c r="L277" t="s">
        <v>210</v>
      </c>
      <c r="M277" t="s">
        <v>178</v>
      </c>
    </row>
    <row r="278" spans="1:13" x14ac:dyDescent="0.25">
      <c r="A278" t="s">
        <v>1542</v>
      </c>
      <c r="B278" s="6">
        <v>46105</v>
      </c>
      <c r="C278" t="s">
        <v>119</v>
      </c>
      <c r="D278" t="s">
        <v>272</v>
      </c>
      <c r="E278" t="s">
        <v>240</v>
      </c>
      <c r="F278" s="18">
        <v>4980</v>
      </c>
      <c r="G278" t="s">
        <v>252</v>
      </c>
      <c r="H278" t="s">
        <v>243</v>
      </c>
      <c r="I278" t="s">
        <v>244</v>
      </c>
      <c r="J278" t="s">
        <v>1322</v>
      </c>
      <c r="K278" t="s">
        <v>1323</v>
      </c>
      <c r="L278" t="s">
        <v>227</v>
      </c>
      <c r="M278" t="s">
        <v>199</v>
      </c>
    </row>
    <row r="279" spans="1:13" x14ac:dyDescent="0.25">
      <c r="A279" t="s">
        <v>1543</v>
      </c>
      <c r="B279" s="6">
        <v>46106</v>
      </c>
      <c r="C279" t="s">
        <v>127</v>
      </c>
      <c r="D279" t="s">
        <v>250</v>
      </c>
      <c r="E279" t="s">
        <v>240</v>
      </c>
      <c r="F279" s="18">
        <v>10546</v>
      </c>
      <c r="G279" t="s">
        <v>252</v>
      </c>
      <c r="H279" t="s">
        <v>243</v>
      </c>
      <c r="I279" t="s">
        <v>244</v>
      </c>
      <c r="J279" t="s">
        <v>1304</v>
      </c>
      <c r="K279" t="s">
        <v>177</v>
      </c>
      <c r="L279" t="s">
        <v>214</v>
      </c>
      <c r="M279" t="s">
        <v>178</v>
      </c>
    </row>
    <row r="280" spans="1:13" x14ac:dyDescent="0.25">
      <c r="A280" t="s">
        <v>1544</v>
      </c>
      <c r="B280" s="6">
        <v>46106</v>
      </c>
      <c r="C280" t="s">
        <v>127</v>
      </c>
      <c r="D280" t="s">
        <v>250</v>
      </c>
      <c r="E280" t="s">
        <v>289</v>
      </c>
      <c r="F280" s="18">
        <v>1765</v>
      </c>
      <c r="G280" t="s">
        <v>252</v>
      </c>
      <c r="H280" t="s">
        <v>253</v>
      </c>
      <c r="I280" t="s">
        <v>244</v>
      </c>
      <c r="J280" t="s">
        <v>1307</v>
      </c>
      <c r="K280" t="s">
        <v>209</v>
      </c>
      <c r="L280" t="s">
        <v>214</v>
      </c>
      <c r="M280" t="s">
        <v>178</v>
      </c>
    </row>
    <row r="281" spans="1:13" x14ac:dyDescent="0.25">
      <c r="A281" t="s">
        <v>1236</v>
      </c>
      <c r="B281" s="6">
        <v>46107</v>
      </c>
      <c r="C281" t="s">
        <v>59</v>
      </c>
      <c r="D281" t="s">
        <v>250</v>
      </c>
      <c r="E281" t="s">
        <v>289</v>
      </c>
      <c r="F281" s="18">
        <v>15899</v>
      </c>
      <c r="G281" t="s">
        <v>252</v>
      </c>
      <c r="H281" t="s">
        <v>243</v>
      </c>
      <c r="I281" t="s">
        <v>244</v>
      </c>
      <c r="J281" t="s">
        <v>1304</v>
      </c>
      <c r="K281" t="s">
        <v>177</v>
      </c>
      <c r="L281" t="s">
        <v>175</v>
      </c>
      <c r="M281" t="s">
        <v>178</v>
      </c>
    </row>
    <row r="282" spans="1:13" x14ac:dyDescent="0.25">
      <c r="A282" t="s">
        <v>1545</v>
      </c>
      <c r="B282" s="6">
        <v>46107</v>
      </c>
      <c r="C282" t="s">
        <v>101</v>
      </c>
      <c r="D282" t="s">
        <v>283</v>
      </c>
      <c r="E282" t="s">
        <v>240</v>
      </c>
      <c r="F282" s="18">
        <v>6378</v>
      </c>
      <c r="G282" t="s">
        <v>252</v>
      </c>
      <c r="H282" t="s">
        <v>253</v>
      </c>
      <c r="I282" t="s">
        <v>244</v>
      </c>
      <c r="J282" t="s">
        <v>1320</v>
      </c>
      <c r="K282" t="s">
        <v>209</v>
      </c>
      <c r="L282" t="s">
        <v>228</v>
      </c>
      <c r="M282" t="s">
        <v>178</v>
      </c>
    </row>
    <row r="283" spans="1:13" x14ac:dyDescent="0.25">
      <c r="A283" t="s">
        <v>1546</v>
      </c>
      <c r="B283" s="6">
        <v>46107</v>
      </c>
      <c r="C283" t="s">
        <v>147</v>
      </c>
      <c r="D283" t="s">
        <v>272</v>
      </c>
      <c r="E283" t="s">
        <v>289</v>
      </c>
      <c r="F283" s="18">
        <v>7791</v>
      </c>
      <c r="G283" t="s">
        <v>252</v>
      </c>
      <c r="H283" t="s">
        <v>260</v>
      </c>
      <c r="I283" t="s">
        <v>244</v>
      </c>
      <c r="J283" t="s">
        <v>1314</v>
      </c>
      <c r="K283" t="s">
        <v>198</v>
      </c>
      <c r="L283" t="s">
        <v>210</v>
      </c>
      <c r="M283" t="s">
        <v>178</v>
      </c>
    </row>
    <row r="284" spans="1:13" x14ac:dyDescent="0.25">
      <c r="A284" t="s">
        <v>1547</v>
      </c>
      <c r="B284" s="6">
        <v>46107</v>
      </c>
      <c r="C284" t="s">
        <v>115</v>
      </c>
      <c r="D284" t="s">
        <v>327</v>
      </c>
      <c r="E284" t="s">
        <v>289</v>
      </c>
      <c r="F284" s="18">
        <v>21010</v>
      </c>
      <c r="G284" t="s">
        <v>252</v>
      </c>
      <c r="H284" t="s">
        <v>266</v>
      </c>
      <c r="I284" t="s">
        <v>267</v>
      </c>
      <c r="J284" t="s">
        <v>1341</v>
      </c>
      <c r="K284" t="s">
        <v>194</v>
      </c>
      <c r="L284" t="s">
        <v>221</v>
      </c>
      <c r="M284" t="s">
        <v>178</v>
      </c>
    </row>
    <row r="285" spans="1:13" x14ac:dyDescent="0.25">
      <c r="A285" t="s">
        <v>1248</v>
      </c>
      <c r="B285" s="6">
        <v>46107</v>
      </c>
      <c r="C285" t="s">
        <v>107</v>
      </c>
      <c r="D285" t="s">
        <v>250</v>
      </c>
      <c r="E285" t="s">
        <v>240</v>
      </c>
      <c r="F285" s="18">
        <v>1311</v>
      </c>
      <c r="G285" t="s">
        <v>252</v>
      </c>
      <c r="H285" t="s">
        <v>260</v>
      </c>
      <c r="I285" t="s">
        <v>244</v>
      </c>
      <c r="J285" t="s">
        <v>1317</v>
      </c>
      <c r="K285" t="s">
        <v>206</v>
      </c>
      <c r="L285" t="s">
        <v>201</v>
      </c>
      <c r="M285" t="s">
        <v>178</v>
      </c>
    </row>
    <row r="286" spans="1:13" x14ac:dyDescent="0.25">
      <c r="A286" t="s">
        <v>1548</v>
      </c>
      <c r="B286" s="6">
        <v>46107</v>
      </c>
      <c r="C286" t="s">
        <v>119</v>
      </c>
      <c r="D286" t="s">
        <v>272</v>
      </c>
      <c r="E286" t="s">
        <v>240</v>
      </c>
      <c r="F286" s="18">
        <v>125</v>
      </c>
      <c r="G286" t="s">
        <v>252</v>
      </c>
      <c r="H286" t="s">
        <v>253</v>
      </c>
      <c r="I286" t="s">
        <v>244</v>
      </c>
      <c r="J286" t="s">
        <v>1348</v>
      </c>
      <c r="K286" t="s">
        <v>209</v>
      </c>
      <c r="L286" t="s">
        <v>227</v>
      </c>
      <c r="M286" t="s">
        <v>199</v>
      </c>
    </row>
    <row r="287" spans="1:13" x14ac:dyDescent="0.25">
      <c r="A287" t="s">
        <v>1549</v>
      </c>
      <c r="B287" s="6">
        <v>46107</v>
      </c>
      <c r="C287" t="s">
        <v>84</v>
      </c>
      <c r="D287" t="s">
        <v>327</v>
      </c>
      <c r="E287" t="s">
        <v>240</v>
      </c>
      <c r="F287" s="18">
        <v>11807</v>
      </c>
      <c r="G287" t="s">
        <v>252</v>
      </c>
      <c r="H287" t="s">
        <v>260</v>
      </c>
      <c r="I287" t="s">
        <v>244</v>
      </c>
      <c r="J287" t="s">
        <v>1355</v>
      </c>
      <c r="K287" t="s">
        <v>203</v>
      </c>
      <c r="L287" t="s">
        <v>216</v>
      </c>
      <c r="M287" t="s">
        <v>178</v>
      </c>
    </row>
    <row r="288" spans="1:13" x14ac:dyDescent="0.25">
      <c r="A288" t="s">
        <v>1550</v>
      </c>
      <c r="B288" s="6">
        <v>46108</v>
      </c>
      <c r="C288" t="s">
        <v>104</v>
      </c>
      <c r="D288" t="s">
        <v>327</v>
      </c>
      <c r="E288" t="s">
        <v>240</v>
      </c>
      <c r="F288" s="18">
        <v>109</v>
      </c>
      <c r="G288" t="s">
        <v>252</v>
      </c>
      <c r="H288" t="s">
        <v>243</v>
      </c>
      <c r="I288" t="s">
        <v>244</v>
      </c>
      <c r="J288" t="s">
        <v>1337</v>
      </c>
      <c r="K288" t="s">
        <v>183</v>
      </c>
      <c r="L288" t="s">
        <v>186</v>
      </c>
      <c r="M288" t="s">
        <v>189</v>
      </c>
    </row>
    <row r="289" spans="1:13" x14ac:dyDescent="0.25">
      <c r="A289" t="s">
        <v>1258</v>
      </c>
      <c r="B289" s="6">
        <v>46108</v>
      </c>
      <c r="C289" t="s">
        <v>104</v>
      </c>
      <c r="D289" t="s">
        <v>327</v>
      </c>
      <c r="E289" t="s">
        <v>289</v>
      </c>
      <c r="F289" s="18">
        <v>3110</v>
      </c>
      <c r="G289" t="s">
        <v>252</v>
      </c>
      <c r="H289" t="s">
        <v>253</v>
      </c>
      <c r="I289" t="s">
        <v>244</v>
      </c>
      <c r="J289" t="s">
        <v>1363</v>
      </c>
      <c r="K289" t="s">
        <v>209</v>
      </c>
      <c r="L289" t="s">
        <v>186</v>
      </c>
      <c r="M289" t="s">
        <v>189</v>
      </c>
    </row>
    <row r="290" spans="1:13" x14ac:dyDescent="0.25">
      <c r="A290" t="s">
        <v>1551</v>
      </c>
      <c r="B290" s="6">
        <v>46108</v>
      </c>
      <c r="C290" t="s">
        <v>135</v>
      </c>
      <c r="D290" t="s">
        <v>327</v>
      </c>
      <c r="E290" t="s">
        <v>240</v>
      </c>
      <c r="F290" s="18">
        <v>2106</v>
      </c>
      <c r="G290" t="s">
        <v>252</v>
      </c>
      <c r="H290" t="s">
        <v>253</v>
      </c>
      <c r="I290" t="s">
        <v>244</v>
      </c>
      <c r="J290" t="s">
        <v>1363</v>
      </c>
      <c r="K290" t="s">
        <v>209</v>
      </c>
      <c r="L290" t="s">
        <v>226</v>
      </c>
      <c r="M290" t="s">
        <v>178</v>
      </c>
    </row>
    <row r="291" spans="1:13" x14ac:dyDescent="0.25">
      <c r="A291" t="s">
        <v>1552</v>
      </c>
      <c r="B291" s="6">
        <v>46109</v>
      </c>
      <c r="C291" t="s">
        <v>84</v>
      </c>
      <c r="D291" t="s">
        <v>327</v>
      </c>
      <c r="E291" t="s">
        <v>289</v>
      </c>
      <c r="F291" s="18">
        <v>6642</v>
      </c>
      <c r="G291" t="s">
        <v>252</v>
      </c>
      <c r="H291" t="s">
        <v>266</v>
      </c>
      <c r="I291" t="s">
        <v>267</v>
      </c>
      <c r="J291" t="s">
        <v>1341</v>
      </c>
      <c r="K291" t="s">
        <v>194</v>
      </c>
      <c r="L291" t="s">
        <v>216</v>
      </c>
      <c r="M291" t="s">
        <v>178</v>
      </c>
    </row>
    <row r="292" spans="1:13" x14ac:dyDescent="0.25">
      <c r="A292" t="s">
        <v>1553</v>
      </c>
      <c r="B292" s="6">
        <v>46109</v>
      </c>
      <c r="C292" t="s">
        <v>84</v>
      </c>
      <c r="D292" t="s">
        <v>327</v>
      </c>
      <c r="E292" t="s">
        <v>240</v>
      </c>
      <c r="F292" s="18">
        <v>8291</v>
      </c>
      <c r="G292" t="s">
        <v>252</v>
      </c>
      <c r="H292" t="s">
        <v>260</v>
      </c>
      <c r="I292" t="s">
        <v>244</v>
      </c>
      <c r="J292" t="s">
        <v>1355</v>
      </c>
      <c r="K292" t="s">
        <v>203</v>
      </c>
      <c r="L292" t="s">
        <v>216</v>
      </c>
      <c r="M292" t="s">
        <v>178</v>
      </c>
    </row>
    <row r="293" spans="1:13" x14ac:dyDescent="0.25">
      <c r="A293" t="s">
        <v>1271</v>
      </c>
      <c r="B293" s="6">
        <v>46109</v>
      </c>
      <c r="C293" t="s">
        <v>121</v>
      </c>
      <c r="D293" t="s">
        <v>258</v>
      </c>
      <c r="E293" t="s">
        <v>240</v>
      </c>
      <c r="F293" s="18">
        <v>1731</v>
      </c>
      <c r="G293" t="s">
        <v>252</v>
      </c>
      <c r="H293" t="s">
        <v>266</v>
      </c>
      <c r="I293" t="s">
        <v>267</v>
      </c>
      <c r="J293" t="s">
        <v>1326</v>
      </c>
      <c r="K293" t="s">
        <v>198</v>
      </c>
      <c r="L293" t="s">
        <v>181</v>
      </c>
      <c r="M293" t="s">
        <v>178</v>
      </c>
    </row>
    <row r="294" spans="1:13" x14ac:dyDescent="0.25">
      <c r="A294" t="s">
        <v>1554</v>
      </c>
      <c r="B294" s="6">
        <v>46110</v>
      </c>
      <c r="C294" t="s">
        <v>127</v>
      </c>
      <c r="D294" t="s">
        <v>250</v>
      </c>
      <c r="E294" t="s">
        <v>240</v>
      </c>
      <c r="F294" s="18">
        <v>2401</v>
      </c>
      <c r="G294" t="s">
        <v>252</v>
      </c>
      <c r="H294" t="s">
        <v>266</v>
      </c>
      <c r="I294" t="s">
        <v>267</v>
      </c>
      <c r="J294" t="s">
        <v>1312</v>
      </c>
      <c r="K294" t="s">
        <v>188</v>
      </c>
      <c r="L294" t="s">
        <v>214</v>
      </c>
      <c r="M294" t="s">
        <v>178</v>
      </c>
    </row>
    <row r="295" spans="1:13" x14ac:dyDescent="0.25">
      <c r="A295" t="s">
        <v>1555</v>
      </c>
      <c r="B295" s="6">
        <v>46110</v>
      </c>
      <c r="C295" t="s">
        <v>107</v>
      </c>
      <c r="D295" t="s">
        <v>250</v>
      </c>
      <c r="E295" t="s">
        <v>289</v>
      </c>
      <c r="F295" s="18">
        <v>83</v>
      </c>
      <c r="G295" t="s">
        <v>252</v>
      </c>
      <c r="H295" t="s">
        <v>266</v>
      </c>
      <c r="I295" t="s">
        <v>267</v>
      </c>
      <c r="J295" t="s">
        <v>1312</v>
      </c>
      <c r="K295" t="s">
        <v>188</v>
      </c>
      <c r="L295" t="s">
        <v>201</v>
      </c>
      <c r="M295" t="s">
        <v>178</v>
      </c>
    </row>
    <row r="296" spans="1:13" x14ac:dyDescent="0.25">
      <c r="A296" t="s">
        <v>1556</v>
      </c>
      <c r="B296" s="6">
        <v>46110</v>
      </c>
      <c r="C296" t="s">
        <v>72</v>
      </c>
      <c r="D296" t="s">
        <v>258</v>
      </c>
      <c r="E296" t="s">
        <v>289</v>
      </c>
      <c r="F296" s="18">
        <v>2238</v>
      </c>
      <c r="G296" t="s">
        <v>252</v>
      </c>
      <c r="H296" t="s">
        <v>253</v>
      </c>
      <c r="I296" t="s">
        <v>244</v>
      </c>
      <c r="J296" t="s">
        <v>1378</v>
      </c>
      <c r="K296" t="s">
        <v>194</v>
      </c>
      <c r="L296" t="s">
        <v>204</v>
      </c>
      <c r="M296" t="s">
        <v>189</v>
      </c>
    </row>
    <row r="297" spans="1:13" x14ac:dyDescent="0.25">
      <c r="A297" t="s">
        <v>1284</v>
      </c>
      <c r="B297" s="6">
        <v>46110</v>
      </c>
      <c r="C297" t="s">
        <v>113</v>
      </c>
      <c r="D297" t="s">
        <v>283</v>
      </c>
      <c r="E297" t="s">
        <v>240</v>
      </c>
      <c r="F297" s="18">
        <v>1301</v>
      </c>
      <c r="G297" t="s">
        <v>252</v>
      </c>
      <c r="H297" t="s">
        <v>243</v>
      </c>
      <c r="I297" t="s">
        <v>244</v>
      </c>
      <c r="J297" t="s">
        <v>1353</v>
      </c>
      <c r="K297" t="s">
        <v>183</v>
      </c>
      <c r="L297" t="s">
        <v>218</v>
      </c>
      <c r="M297" t="s">
        <v>178</v>
      </c>
    </row>
    <row r="298" spans="1:13" x14ac:dyDescent="0.25">
      <c r="A298" t="s">
        <v>1557</v>
      </c>
      <c r="B298" s="6">
        <v>46110</v>
      </c>
      <c r="C298" t="s">
        <v>84</v>
      </c>
      <c r="D298" t="s">
        <v>327</v>
      </c>
      <c r="E298" t="s">
        <v>240</v>
      </c>
      <c r="F298" s="18">
        <v>4187</v>
      </c>
      <c r="G298" t="s">
        <v>252</v>
      </c>
      <c r="H298" t="s">
        <v>266</v>
      </c>
      <c r="I298" t="s">
        <v>267</v>
      </c>
      <c r="J298" t="s">
        <v>1341</v>
      </c>
      <c r="K298" t="s">
        <v>194</v>
      </c>
      <c r="L298" t="s">
        <v>216</v>
      </c>
      <c r="M298" t="s">
        <v>178</v>
      </c>
    </row>
    <row r="299" spans="1:13" x14ac:dyDescent="0.25">
      <c r="A299" t="s">
        <v>1558</v>
      </c>
      <c r="B299" s="6">
        <v>46111</v>
      </c>
      <c r="C299" t="s">
        <v>98</v>
      </c>
      <c r="D299" t="s">
        <v>258</v>
      </c>
      <c r="E299" t="s">
        <v>289</v>
      </c>
      <c r="F299" s="18">
        <v>10917</v>
      </c>
      <c r="G299" t="s">
        <v>252</v>
      </c>
      <c r="H299" t="s">
        <v>260</v>
      </c>
      <c r="I299" t="s">
        <v>244</v>
      </c>
      <c r="J299" t="s">
        <v>1310</v>
      </c>
      <c r="K299" t="s">
        <v>188</v>
      </c>
      <c r="L299" t="s">
        <v>225</v>
      </c>
      <c r="M299" t="s">
        <v>189</v>
      </c>
    </row>
    <row r="300" spans="1:13" x14ac:dyDescent="0.25">
      <c r="A300" t="s">
        <v>1559</v>
      </c>
      <c r="B300" s="6">
        <v>46112</v>
      </c>
      <c r="C300" t="s">
        <v>135</v>
      </c>
      <c r="D300" t="s">
        <v>327</v>
      </c>
      <c r="E300" t="s">
        <v>240</v>
      </c>
      <c r="F300" s="18">
        <v>3884</v>
      </c>
      <c r="G300" t="s">
        <v>252</v>
      </c>
      <c r="H300" t="s">
        <v>266</v>
      </c>
      <c r="I300" t="s">
        <v>267</v>
      </c>
      <c r="J300" t="s">
        <v>1341</v>
      </c>
      <c r="K300" t="s">
        <v>194</v>
      </c>
      <c r="L300" t="s">
        <v>226</v>
      </c>
      <c r="M300" t="s">
        <v>178</v>
      </c>
    </row>
    <row r="301" spans="1:13" x14ac:dyDescent="0.25">
      <c r="A301" t="s">
        <v>1297</v>
      </c>
      <c r="B301" s="6">
        <v>46112</v>
      </c>
      <c r="C301" t="s">
        <v>95</v>
      </c>
      <c r="D301" t="s">
        <v>272</v>
      </c>
      <c r="E301" t="s">
        <v>240</v>
      </c>
      <c r="F301" s="18">
        <v>16333</v>
      </c>
      <c r="G301" t="s">
        <v>252</v>
      </c>
      <c r="H301" t="s">
        <v>253</v>
      </c>
      <c r="I301" t="s">
        <v>244</v>
      </c>
      <c r="J301" t="s">
        <v>1348</v>
      </c>
      <c r="K301" t="s">
        <v>209</v>
      </c>
      <c r="L301" t="s">
        <v>222</v>
      </c>
      <c r="M301" t="s">
        <v>189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12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7" customWidth="1"/>
    <col min="2" max="2" width="12" customWidth="1"/>
    <col min="3" max="3" width="40" customWidth="1"/>
    <col min="4" max="4" width="13" customWidth="1"/>
    <col min="5" max="5" width="15" customWidth="1"/>
    <col min="6" max="7" width="13" customWidth="1"/>
    <col min="8" max="8" width="18" customWidth="1"/>
    <col min="9" max="9" width="2" customWidth="1"/>
    <col min="10" max="11" width="12" customWidth="1"/>
    <col min="12" max="12" width="17" customWidth="1"/>
    <col min="13" max="13" width="24" customWidth="1"/>
    <col min="14" max="14" width="13" customWidth="1"/>
    <col min="15" max="15" width="15" customWidth="1"/>
    <col min="16" max="16" width="13" customWidth="1"/>
    <col min="17" max="17" width="2" customWidth="1"/>
    <col min="18" max="18" width="10" customWidth="1"/>
    <col min="19" max="19" width="17" customWidth="1"/>
    <col min="20" max="20" width="13" customWidth="1"/>
    <col min="21" max="21" width="26" customWidth="1"/>
    <col min="22" max="23" width="14" customWidth="1"/>
    <col min="24" max="24" width="16" customWidth="1"/>
    <col min="25" max="25" width="12" customWidth="1"/>
    <col min="27" max="27" width="94" customWidth="1"/>
  </cols>
  <sheetData>
    <row r="1" spans="1:27" ht="30" x14ac:dyDescent="0.25">
      <c r="A1" t="s">
        <v>1560</v>
      </c>
      <c r="B1" t="s">
        <v>1561</v>
      </c>
      <c r="C1" t="s">
        <v>1562</v>
      </c>
      <c r="D1" t="s">
        <v>233</v>
      </c>
      <c r="J1" t="s">
        <v>1563</v>
      </c>
      <c r="K1" t="s">
        <v>1564</v>
      </c>
      <c r="L1" t="s">
        <v>1565</v>
      </c>
      <c r="M1" t="s">
        <v>1566</v>
      </c>
      <c r="N1" t="s">
        <v>233</v>
      </c>
      <c r="R1" s="16" t="s">
        <v>1567</v>
      </c>
      <c r="S1" s="16" t="s">
        <v>1568</v>
      </c>
      <c r="T1" s="16" t="s">
        <v>1569</v>
      </c>
      <c r="U1" s="16" t="s">
        <v>1570</v>
      </c>
      <c r="V1" s="16" t="s">
        <v>1571</v>
      </c>
      <c r="W1" s="16" t="s">
        <v>1572</v>
      </c>
      <c r="X1" s="16" t="s">
        <v>1573</v>
      </c>
      <c r="Y1" s="16" t="s">
        <v>56</v>
      </c>
      <c r="AA1" s="1" t="s">
        <v>1574</v>
      </c>
    </row>
    <row r="2" spans="1:27" x14ac:dyDescent="0.25">
      <c r="A2" t="s">
        <v>1575</v>
      </c>
      <c r="B2" s="6">
        <v>46082</v>
      </c>
      <c r="C2" t="s">
        <v>1576</v>
      </c>
      <c r="D2" s="18">
        <v>11671.47</v>
      </c>
      <c r="J2" t="s">
        <v>1577</v>
      </c>
      <c r="K2" s="6">
        <v>46082</v>
      </c>
      <c r="L2" t="s">
        <v>1575</v>
      </c>
      <c r="M2" t="s">
        <v>1578</v>
      </c>
      <c r="N2" s="18">
        <v>11671.47</v>
      </c>
      <c r="R2" s="19"/>
      <c r="S2" s="19"/>
      <c r="T2" s="19"/>
      <c r="U2" s="19"/>
      <c r="V2" s="19"/>
      <c r="W2" s="19"/>
      <c r="X2" s="19"/>
      <c r="Y2" s="19"/>
      <c r="AA2" s="4" t="s">
        <v>1579</v>
      </c>
    </row>
    <row r="3" spans="1:27" x14ac:dyDescent="0.25">
      <c r="A3" t="s">
        <v>1580</v>
      </c>
      <c r="B3" s="6">
        <v>46084</v>
      </c>
      <c r="C3" t="s">
        <v>1581</v>
      </c>
      <c r="D3" s="18">
        <v>831.04</v>
      </c>
      <c r="J3" t="s">
        <v>1582</v>
      </c>
      <c r="K3" s="6">
        <v>46082</v>
      </c>
      <c r="L3" t="s">
        <v>1583</v>
      </c>
      <c r="M3" t="s">
        <v>1584</v>
      </c>
      <c r="N3" s="18">
        <v>8253.75</v>
      </c>
      <c r="R3" s="19"/>
      <c r="S3" s="19"/>
      <c r="T3" s="19"/>
      <c r="U3" s="19"/>
      <c r="V3" s="19"/>
      <c r="W3" s="19"/>
      <c r="X3" s="19"/>
      <c r="Y3" s="19"/>
      <c r="AA3" s="4" t="s">
        <v>1585</v>
      </c>
    </row>
    <row r="4" spans="1:27" x14ac:dyDescent="0.25">
      <c r="A4" t="s">
        <v>1586</v>
      </c>
      <c r="B4" s="6">
        <v>46086</v>
      </c>
      <c r="C4" t="s">
        <v>1587</v>
      </c>
      <c r="D4" s="18">
        <v>45863.57</v>
      </c>
      <c r="J4" t="s">
        <v>1588</v>
      </c>
      <c r="K4" s="6">
        <v>46082</v>
      </c>
      <c r="L4" t="s">
        <v>1589</v>
      </c>
      <c r="M4" t="s">
        <v>1590</v>
      </c>
      <c r="N4" s="18">
        <v>12426.71</v>
      </c>
      <c r="R4" s="19"/>
      <c r="S4" s="19"/>
      <c r="T4" s="19"/>
      <c r="U4" s="19"/>
      <c r="V4" s="19"/>
      <c r="W4" s="19"/>
      <c r="X4" s="19"/>
      <c r="Y4" s="19"/>
      <c r="AA4" s="4" t="s">
        <v>1591</v>
      </c>
    </row>
    <row r="5" spans="1:27" x14ac:dyDescent="0.25">
      <c r="A5" t="s">
        <v>1592</v>
      </c>
      <c r="B5" s="6">
        <v>46088</v>
      </c>
      <c r="C5" t="s">
        <v>1593</v>
      </c>
      <c r="D5" s="18">
        <v>15148.37</v>
      </c>
      <c r="J5" t="s">
        <v>1594</v>
      </c>
      <c r="K5" s="6">
        <v>46082</v>
      </c>
      <c r="L5" t="s">
        <v>1595</v>
      </c>
      <c r="M5" t="s">
        <v>1578</v>
      </c>
      <c r="N5" s="18">
        <v>26699.41</v>
      </c>
      <c r="R5" s="19"/>
      <c r="S5" s="19"/>
      <c r="T5" s="19"/>
      <c r="U5" s="19"/>
      <c r="V5" s="19"/>
      <c r="W5" s="19"/>
      <c r="X5" s="19"/>
      <c r="Y5" s="19"/>
      <c r="AA5" s="4" t="s">
        <v>1596</v>
      </c>
    </row>
    <row r="6" spans="1:27" x14ac:dyDescent="0.25">
      <c r="A6" t="s">
        <v>1597</v>
      </c>
      <c r="B6" s="6">
        <v>46090</v>
      </c>
      <c r="C6" t="s">
        <v>1598</v>
      </c>
      <c r="D6" s="18">
        <v>13527.97</v>
      </c>
      <c r="J6" t="s">
        <v>1599</v>
      </c>
      <c r="K6" s="6">
        <v>46082</v>
      </c>
      <c r="L6" t="s">
        <v>1600</v>
      </c>
      <c r="M6" t="s">
        <v>1584</v>
      </c>
      <c r="N6" s="18">
        <v>11768.17</v>
      </c>
      <c r="R6" s="19"/>
      <c r="S6" s="19"/>
      <c r="T6" s="19"/>
      <c r="U6" s="19"/>
      <c r="V6" s="19"/>
      <c r="W6" s="19"/>
      <c r="X6" s="19"/>
      <c r="Y6" s="19"/>
      <c r="AA6" s="2"/>
    </row>
    <row r="7" spans="1:27" x14ac:dyDescent="0.25">
      <c r="A7" t="s">
        <v>1601</v>
      </c>
      <c r="B7" s="6">
        <v>46092</v>
      </c>
      <c r="C7" t="s">
        <v>1602</v>
      </c>
      <c r="D7" s="18">
        <v>20092.939999999999</v>
      </c>
      <c r="J7" t="s">
        <v>1603</v>
      </c>
      <c r="K7" s="6">
        <v>46082</v>
      </c>
      <c r="L7" t="s">
        <v>1604</v>
      </c>
      <c r="M7" t="s">
        <v>1590</v>
      </c>
      <c r="N7" s="18">
        <v>21129.87</v>
      </c>
      <c r="R7" s="19"/>
      <c r="S7" s="19"/>
      <c r="T7" s="19"/>
      <c r="U7" s="19"/>
      <c r="V7" s="19"/>
      <c r="W7" s="19"/>
      <c r="X7" s="19"/>
      <c r="Y7" s="19"/>
      <c r="AA7" s="3" t="s">
        <v>1605</v>
      </c>
    </row>
    <row r="8" spans="1:27" x14ac:dyDescent="0.25">
      <c r="A8" t="s">
        <v>1606</v>
      </c>
      <c r="B8" s="6">
        <v>46094</v>
      </c>
      <c r="C8" t="s">
        <v>1607</v>
      </c>
      <c r="D8" s="18">
        <v>28659.66</v>
      </c>
      <c r="J8" t="s">
        <v>1608</v>
      </c>
      <c r="K8" s="6">
        <v>46082</v>
      </c>
      <c r="L8" t="s">
        <v>1609</v>
      </c>
      <c r="M8" t="s">
        <v>1578</v>
      </c>
      <c r="N8" s="18">
        <v>41027.89</v>
      </c>
      <c r="R8" s="19"/>
      <c r="S8" s="19"/>
      <c r="T8" s="19"/>
      <c r="U8" s="19"/>
      <c r="V8" s="19"/>
      <c r="W8" s="19"/>
      <c r="X8" s="19"/>
      <c r="Y8" s="19"/>
      <c r="AA8" s="2" t="s">
        <v>1610</v>
      </c>
    </row>
    <row r="9" spans="1:27" x14ac:dyDescent="0.25">
      <c r="A9" t="s">
        <v>1611</v>
      </c>
      <c r="B9" s="6">
        <v>46096</v>
      </c>
      <c r="C9" t="s">
        <v>1612</v>
      </c>
      <c r="D9" s="18">
        <v>47336.97</v>
      </c>
      <c r="J9" t="s">
        <v>1613</v>
      </c>
      <c r="K9" s="6">
        <v>46082</v>
      </c>
      <c r="L9" t="s">
        <v>1614</v>
      </c>
      <c r="M9" t="s">
        <v>1584</v>
      </c>
      <c r="N9" s="18">
        <v>423.41</v>
      </c>
      <c r="R9" s="19"/>
      <c r="S9" s="19"/>
      <c r="T9" s="19"/>
      <c r="U9" s="19"/>
      <c r="V9" s="19"/>
      <c r="W9" s="19"/>
      <c r="X9" s="19"/>
      <c r="Y9" s="19"/>
      <c r="AA9" s="2" t="s">
        <v>1615</v>
      </c>
    </row>
    <row r="10" spans="1:27" x14ac:dyDescent="0.25">
      <c r="A10" t="s">
        <v>1616</v>
      </c>
      <c r="B10" s="6">
        <v>46098</v>
      </c>
      <c r="C10" t="s">
        <v>1617</v>
      </c>
      <c r="D10" s="18">
        <v>34034.300000000003</v>
      </c>
      <c r="J10" t="s">
        <v>1618</v>
      </c>
      <c r="K10" s="6">
        <v>46082</v>
      </c>
      <c r="L10" t="s">
        <v>1619</v>
      </c>
      <c r="M10" t="s">
        <v>1590</v>
      </c>
      <c r="N10" s="18">
        <v>36964.76</v>
      </c>
      <c r="R10" s="19"/>
      <c r="S10" s="19"/>
      <c r="T10" s="19"/>
      <c r="U10" s="19"/>
      <c r="V10" s="19"/>
      <c r="W10" s="19"/>
      <c r="X10" s="19"/>
      <c r="Y10" s="19"/>
      <c r="AA10" s="2" t="s">
        <v>1620</v>
      </c>
    </row>
    <row r="11" spans="1:27" x14ac:dyDescent="0.25">
      <c r="A11" t="s">
        <v>1621</v>
      </c>
      <c r="B11" s="6">
        <v>46100</v>
      </c>
      <c r="C11" t="s">
        <v>1622</v>
      </c>
      <c r="D11" s="18">
        <v>15449.79</v>
      </c>
      <c r="J11" t="s">
        <v>1623</v>
      </c>
      <c r="K11" s="6">
        <v>46084</v>
      </c>
      <c r="L11" t="s">
        <v>1580</v>
      </c>
      <c r="M11" t="s">
        <v>1624</v>
      </c>
      <c r="N11" s="18">
        <v>831.04</v>
      </c>
      <c r="R11" s="19"/>
      <c r="S11" s="19"/>
      <c r="T11" s="19"/>
      <c r="U11" s="19"/>
      <c r="V11" s="19"/>
      <c r="W11" s="19"/>
      <c r="X11" s="19"/>
      <c r="Y11" s="19"/>
      <c r="AA11" s="2" t="s">
        <v>1625</v>
      </c>
    </row>
    <row r="12" spans="1:27" x14ac:dyDescent="0.25">
      <c r="A12" t="s">
        <v>1626</v>
      </c>
      <c r="B12" s="6">
        <v>46102</v>
      </c>
      <c r="C12" t="s">
        <v>1627</v>
      </c>
      <c r="D12" s="18">
        <v>25781.37</v>
      </c>
      <c r="J12" t="s">
        <v>1628</v>
      </c>
      <c r="K12" s="6">
        <v>46084</v>
      </c>
      <c r="L12" t="s">
        <v>1629</v>
      </c>
      <c r="M12" t="s">
        <v>1630</v>
      </c>
      <c r="N12" s="18">
        <v>19134.36</v>
      </c>
      <c r="R12" s="19"/>
      <c r="S12" s="19"/>
      <c r="T12" s="19"/>
      <c r="U12" s="19"/>
      <c r="V12" s="19"/>
      <c r="W12" s="19"/>
      <c r="X12" s="19"/>
      <c r="Y12" s="19"/>
      <c r="AA12" s="2"/>
    </row>
    <row r="13" spans="1:27" x14ac:dyDescent="0.25">
      <c r="A13" t="s">
        <v>1631</v>
      </c>
      <c r="B13" s="6">
        <v>46104</v>
      </c>
      <c r="C13" t="s">
        <v>1632</v>
      </c>
      <c r="D13" s="18">
        <v>21674.73</v>
      </c>
      <c r="J13" t="s">
        <v>1633</v>
      </c>
      <c r="K13" s="6">
        <v>46084</v>
      </c>
      <c r="L13" t="s">
        <v>1634</v>
      </c>
      <c r="M13" t="s">
        <v>1635</v>
      </c>
      <c r="N13" s="18">
        <v>16931.64</v>
      </c>
      <c r="R13" s="19"/>
      <c r="S13" s="19"/>
      <c r="T13" s="19"/>
      <c r="U13" s="19"/>
      <c r="V13" s="19"/>
      <c r="W13" s="19"/>
      <c r="X13" s="19"/>
      <c r="Y13" s="19"/>
      <c r="AA13" s="4" t="s">
        <v>1636</v>
      </c>
    </row>
    <row r="14" spans="1:27" x14ac:dyDescent="0.25">
      <c r="A14" t="s">
        <v>1637</v>
      </c>
      <c r="B14" s="6">
        <v>46106</v>
      </c>
      <c r="C14" t="s">
        <v>1638</v>
      </c>
      <c r="D14" s="18">
        <v>24200.78</v>
      </c>
      <c r="J14" t="s">
        <v>1639</v>
      </c>
      <c r="K14" s="6">
        <v>46084</v>
      </c>
      <c r="L14" t="s">
        <v>1640</v>
      </c>
      <c r="M14" t="s">
        <v>1624</v>
      </c>
      <c r="N14" s="18">
        <v>18935.439999999999</v>
      </c>
      <c r="R14" s="19"/>
      <c r="S14" s="19"/>
      <c r="T14" s="19"/>
      <c r="U14" s="19"/>
      <c r="V14" s="19"/>
      <c r="W14" s="19"/>
      <c r="X14" s="19"/>
      <c r="Y14" s="19"/>
      <c r="AA14" s="4" t="s">
        <v>1641</v>
      </c>
    </row>
    <row r="15" spans="1:27" x14ac:dyDescent="0.25">
      <c r="A15" t="s">
        <v>1642</v>
      </c>
      <c r="B15" s="6">
        <v>46108</v>
      </c>
      <c r="C15" t="s">
        <v>1643</v>
      </c>
      <c r="D15" s="18">
        <v>20190.79</v>
      </c>
      <c r="J15" t="s">
        <v>1644</v>
      </c>
      <c r="K15" s="6">
        <v>46084</v>
      </c>
      <c r="L15" t="s">
        <v>1645</v>
      </c>
      <c r="M15" t="s">
        <v>1635</v>
      </c>
      <c r="N15" s="18">
        <v>14111.62</v>
      </c>
      <c r="R15" s="19"/>
      <c r="S15" s="19"/>
      <c r="T15" s="19"/>
      <c r="U15" s="19"/>
      <c r="V15" s="19"/>
      <c r="W15" s="19"/>
      <c r="X15" s="19"/>
      <c r="Y15" s="19"/>
      <c r="AA15" s="4" t="s">
        <v>1646</v>
      </c>
    </row>
    <row r="16" spans="1:27" x14ac:dyDescent="0.25">
      <c r="A16" t="s">
        <v>1583</v>
      </c>
      <c r="B16" s="6">
        <v>46082</v>
      </c>
      <c r="C16" t="s">
        <v>1647</v>
      </c>
      <c r="D16" s="18">
        <v>8253.75</v>
      </c>
      <c r="J16" t="s">
        <v>1648</v>
      </c>
      <c r="K16" s="6">
        <v>46084</v>
      </c>
      <c r="L16" t="s">
        <v>1649</v>
      </c>
      <c r="M16" t="s">
        <v>1624</v>
      </c>
      <c r="N16" s="18">
        <v>30496.19</v>
      </c>
      <c r="R16" s="19"/>
      <c r="S16" s="19"/>
      <c r="T16" s="19"/>
      <c r="U16" s="19"/>
      <c r="V16" s="19"/>
      <c r="W16" s="19"/>
      <c r="X16" s="19"/>
      <c r="Y16" s="19"/>
      <c r="AA16" s="2"/>
    </row>
    <row r="17" spans="1:27" x14ac:dyDescent="0.25">
      <c r="A17" t="s">
        <v>1629</v>
      </c>
      <c r="B17" s="6">
        <v>46084</v>
      </c>
      <c r="C17" t="s">
        <v>1650</v>
      </c>
      <c r="D17" s="18">
        <v>19134.36</v>
      </c>
      <c r="J17" t="s">
        <v>1651</v>
      </c>
      <c r="K17" s="6">
        <v>46084</v>
      </c>
      <c r="L17" t="s">
        <v>1652</v>
      </c>
      <c r="M17" t="s">
        <v>1630</v>
      </c>
      <c r="N17" s="18">
        <v>6022.57</v>
      </c>
      <c r="AA17" s="3" t="s">
        <v>1653</v>
      </c>
    </row>
    <row r="18" spans="1:27" x14ac:dyDescent="0.25">
      <c r="A18" t="s">
        <v>1654</v>
      </c>
      <c r="B18" s="6">
        <v>46086</v>
      </c>
      <c r="C18" t="s">
        <v>1655</v>
      </c>
      <c r="D18" s="18">
        <v>18829</v>
      </c>
      <c r="J18" t="s">
        <v>1656</v>
      </c>
      <c r="K18" s="6">
        <v>46084</v>
      </c>
      <c r="L18" t="s">
        <v>1657</v>
      </c>
      <c r="M18" t="s">
        <v>1635</v>
      </c>
      <c r="N18" s="18">
        <v>20361.91</v>
      </c>
      <c r="AA18" s="2" t="s">
        <v>1658</v>
      </c>
    </row>
    <row r="19" spans="1:27" x14ac:dyDescent="0.25">
      <c r="A19" t="s">
        <v>1659</v>
      </c>
      <c r="B19" s="6">
        <v>46088</v>
      </c>
      <c r="C19" t="s">
        <v>1660</v>
      </c>
      <c r="D19" s="18">
        <v>9834.35</v>
      </c>
      <c r="J19" t="s">
        <v>1661</v>
      </c>
      <c r="K19" s="6">
        <v>46086</v>
      </c>
      <c r="L19" t="s">
        <v>1586</v>
      </c>
      <c r="M19" t="s">
        <v>1584</v>
      </c>
      <c r="N19" s="18">
        <v>45863.57</v>
      </c>
      <c r="AA19" s="2" t="s">
        <v>1662</v>
      </c>
    </row>
    <row r="20" spans="1:27" x14ac:dyDescent="0.25">
      <c r="A20" t="s">
        <v>1663</v>
      </c>
      <c r="B20" s="6">
        <v>46090</v>
      </c>
      <c r="C20" t="s">
        <v>1664</v>
      </c>
      <c r="D20" s="18">
        <v>39257.870000000003</v>
      </c>
      <c r="J20" t="s">
        <v>1665</v>
      </c>
      <c r="K20" s="6">
        <v>46086</v>
      </c>
      <c r="L20" t="s">
        <v>1666</v>
      </c>
      <c r="M20" t="s">
        <v>1578</v>
      </c>
      <c r="N20" s="18">
        <v>13578.64</v>
      </c>
    </row>
    <row r="21" spans="1:27" x14ac:dyDescent="0.25">
      <c r="A21" t="s">
        <v>1667</v>
      </c>
      <c r="B21" s="6">
        <v>46092</v>
      </c>
      <c r="C21" t="s">
        <v>1668</v>
      </c>
      <c r="D21" s="18">
        <v>17439.57</v>
      </c>
      <c r="J21" t="s">
        <v>1669</v>
      </c>
      <c r="K21" s="6">
        <v>46086</v>
      </c>
      <c r="L21" t="s">
        <v>1670</v>
      </c>
      <c r="M21" t="s">
        <v>1584</v>
      </c>
      <c r="N21" s="18">
        <v>9601.24</v>
      </c>
    </row>
    <row r="22" spans="1:27" x14ac:dyDescent="0.25">
      <c r="A22" t="s">
        <v>1671</v>
      </c>
      <c r="B22" s="6">
        <v>46094</v>
      </c>
      <c r="C22" t="s">
        <v>1672</v>
      </c>
      <c r="D22" s="18">
        <v>7483.48</v>
      </c>
      <c r="J22" t="s">
        <v>1673</v>
      </c>
      <c r="K22" s="6">
        <v>46086</v>
      </c>
      <c r="L22" t="s">
        <v>1674</v>
      </c>
      <c r="M22" t="s">
        <v>1590</v>
      </c>
      <c r="N22" s="18">
        <v>13890.8</v>
      </c>
    </row>
    <row r="23" spans="1:27" x14ac:dyDescent="0.25">
      <c r="A23" t="s">
        <v>1675</v>
      </c>
      <c r="B23" s="6">
        <v>46096</v>
      </c>
      <c r="C23" t="s">
        <v>1676</v>
      </c>
      <c r="D23" s="18">
        <v>27318.25</v>
      </c>
      <c r="J23" t="s">
        <v>1677</v>
      </c>
      <c r="K23" s="6">
        <v>46086</v>
      </c>
      <c r="L23" t="s">
        <v>1678</v>
      </c>
      <c r="M23" t="s">
        <v>1578</v>
      </c>
      <c r="N23" s="18">
        <v>38937.19</v>
      </c>
    </row>
    <row r="24" spans="1:27" x14ac:dyDescent="0.25">
      <c r="A24" t="s">
        <v>1679</v>
      </c>
      <c r="B24" s="6">
        <v>46098</v>
      </c>
      <c r="C24" t="s">
        <v>1680</v>
      </c>
      <c r="D24" s="18">
        <v>40591.269999999997</v>
      </c>
      <c r="J24" t="s">
        <v>1681</v>
      </c>
      <c r="K24" s="6">
        <v>46086</v>
      </c>
      <c r="L24" t="s">
        <v>1682</v>
      </c>
      <c r="M24" t="s">
        <v>1584</v>
      </c>
      <c r="N24" s="18">
        <v>11991.69</v>
      </c>
    </row>
    <row r="25" spans="1:27" x14ac:dyDescent="0.25">
      <c r="A25" t="s">
        <v>1683</v>
      </c>
      <c r="B25" s="6">
        <v>46100</v>
      </c>
      <c r="C25" t="s">
        <v>1684</v>
      </c>
      <c r="D25" s="18">
        <v>37521.79</v>
      </c>
      <c r="J25" t="s">
        <v>1685</v>
      </c>
      <c r="K25" s="6">
        <v>46086</v>
      </c>
      <c r="L25" t="s">
        <v>1686</v>
      </c>
      <c r="M25" t="s">
        <v>1590</v>
      </c>
      <c r="N25" s="18">
        <v>9873.73</v>
      </c>
    </row>
    <row r="26" spans="1:27" x14ac:dyDescent="0.25">
      <c r="A26" t="s">
        <v>1687</v>
      </c>
      <c r="B26" s="6">
        <v>46102</v>
      </c>
      <c r="C26" t="s">
        <v>1688</v>
      </c>
      <c r="D26" s="18">
        <v>29952.42</v>
      </c>
      <c r="J26" t="s">
        <v>1689</v>
      </c>
      <c r="K26" s="6">
        <v>46086</v>
      </c>
      <c r="L26" t="s">
        <v>1690</v>
      </c>
      <c r="M26" t="s">
        <v>1578</v>
      </c>
      <c r="N26" s="18">
        <v>13237.04</v>
      </c>
    </row>
    <row r="27" spans="1:27" x14ac:dyDescent="0.25">
      <c r="A27" t="s">
        <v>1691</v>
      </c>
      <c r="B27" s="6">
        <v>46104</v>
      </c>
      <c r="C27" t="s">
        <v>1692</v>
      </c>
      <c r="D27" s="18">
        <v>35157.06</v>
      </c>
      <c r="J27" t="s">
        <v>1693</v>
      </c>
      <c r="K27" s="6">
        <v>46088</v>
      </c>
      <c r="L27" t="s">
        <v>1592</v>
      </c>
      <c r="M27" t="s">
        <v>1630</v>
      </c>
      <c r="N27" s="18">
        <v>15148.37</v>
      </c>
    </row>
    <row r="28" spans="1:27" x14ac:dyDescent="0.25">
      <c r="A28" t="s">
        <v>1694</v>
      </c>
      <c r="B28" s="6">
        <v>46106</v>
      </c>
      <c r="C28" t="s">
        <v>1695</v>
      </c>
      <c r="D28" s="18">
        <v>16299.47</v>
      </c>
      <c r="J28" t="s">
        <v>1696</v>
      </c>
      <c r="K28" s="6">
        <v>46088</v>
      </c>
      <c r="L28" t="s">
        <v>1659</v>
      </c>
      <c r="M28" t="s">
        <v>1635</v>
      </c>
      <c r="N28" s="18">
        <v>9834.35</v>
      </c>
    </row>
    <row r="29" spans="1:27" x14ac:dyDescent="0.25">
      <c r="A29" t="s">
        <v>1697</v>
      </c>
      <c r="B29" s="6">
        <v>46108</v>
      </c>
      <c r="C29" t="s">
        <v>1698</v>
      </c>
      <c r="D29" s="18">
        <v>7064.47</v>
      </c>
      <c r="J29" t="s">
        <v>1699</v>
      </c>
      <c r="K29" s="6">
        <v>46088</v>
      </c>
      <c r="L29" t="s">
        <v>1700</v>
      </c>
      <c r="M29" t="s">
        <v>1624</v>
      </c>
      <c r="N29" s="18">
        <v>22585.61</v>
      </c>
    </row>
    <row r="30" spans="1:27" x14ac:dyDescent="0.25">
      <c r="A30" t="s">
        <v>1589</v>
      </c>
      <c r="B30" s="6">
        <v>46082</v>
      </c>
      <c r="C30" t="s">
        <v>1701</v>
      </c>
      <c r="D30" s="18">
        <v>12426.71</v>
      </c>
      <c r="J30" t="s">
        <v>1702</v>
      </c>
      <c r="K30" s="6">
        <v>46088</v>
      </c>
      <c r="L30" t="s">
        <v>1703</v>
      </c>
      <c r="M30" t="s">
        <v>1630</v>
      </c>
      <c r="N30" s="18">
        <v>30113.09</v>
      </c>
    </row>
    <row r="31" spans="1:27" x14ac:dyDescent="0.25">
      <c r="A31" t="s">
        <v>1634</v>
      </c>
      <c r="B31" s="6">
        <v>46084</v>
      </c>
      <c r="C31" t="s">
        <v>1704</v>
      </c>
      <c r="D31" s="18">
        <v>16931.64</v>
      </c>
      <c r="J31" t="s">
        <v>1705</v>
      </c>
      <c r="K31" s="6">
        <v>46088</v>
      </c>
      <c r="L31" t="s">
        <v>1706</v>
      </c>
      <c r="M31" t="s">
        <v>1635</v>
      </c>
      <c r="N31" s="18">
        <v>31849.01</v>
      </c>
    </row>
    <row r="32" spans="1:27" x14ac:dyDescent="0.25">
      <c r="A32" t="s">
        <v>1666</v>
      </c>
      <c r="B32" s="6">
        <v>46086</v>
      </c>
      <c r="C32" t="s">
        <v>1707</v>
      </c>
      <c r="D32" s="18">
        <v>13578.64</v>
      </c>
      <c r="J32" t="s">
        <v>1708</v>
      </c>
      <c r="K32" s="6">
        <v>46088</v>
      </c>
      <c r="L32" t="s">
        <v>1709</v>
      </c>
      <c r="M32" t="s">
        <v>1624</v>
      </c>
      <c r="N32" s="18">
        <v>28546.400000000001</v>
      </c>
    </row>
    <row r="33" spans="1:14" x14ac:dyDescent="0.25">
      <c r="A33" t="s">
        <v>1700</v>
      </c>
      <c r="B33" s="6">
        <v>46088</v>
      </c>
      <c r="C33" t="s">
        <v>1710</v>
      </c>
      <c r="D33" s="18">
        <v>22585.61</v>
      </c>
      <c r="J33" t="s">
        <v>1711</v>
      </c>
      <c r="K33" s="6">
        <v>46088</v>
      </c>
      <c r="L33" t="s">
        <v>1712</v>
      </c>
      <c r="M33" t="s">
        <v>1630</v>
      </c>
      <c r="N33" s="18">
        <v>10175.89</v>
      </c>
    </row>
    <row r="34" spans="1:14" x14ac:dyDescent="0.25">
      <c r="A34" t="s">
        <v>1713</v>
      </c>
      <c r="B34" s="6">
        <v>46090</v>
      </c>
      <c r="C34" t="s">
        <v>1714</v>
      </c>
      <c r="D34" s="18">
        <v>7366.29</v>
      </c>
      <c r="J34" t="s">
        <v>1715</v>
      </c>
      <c r="K34" s="6">
        <v>46088</v>
      </c>
      <c r="L34" t="s">
        <v>1716</v>
      </c>
      <c r="M34" t="s">
        <v>1635</v>
      </c>
      <c r="N34" s="18">
        <v>36699.74</v>
      </c>
    </row>
    <row r="35" spans="1:14" x14ac:dyDescent="0.25">
      <c r="A35" t="s">
        <v>1717</v>
      </c>
      <c r="B35" s="6">
        <v>46092</v>
      </c>
      <c r="C35" t="s">
        <v>1718</v>
      </c>
      <c r="D35" s="18">
        <v>6470</v>
      </c>
      <c r="J35" t="s">
        <v>1719</v>
      </c>
      <c r="K35" s="6">
        <v>46088</v>
      </c>
      <c r="L35" t="s">
        <v>1720</v>
      </c>
      <c r="M35" t="s">
        <v>1624</v>
      </c>
      <c r="N35" s="18">
        <v>4916.7</v>
      </c>
    </row>
    <row r="36" spans="1:14" x14ac:dyDescent="0.25">
      <c r="A36" t="s">
        <v>1721</v>
      </c>
      <c r="B36" s="6">
        <v>46094</v>
      </c>
      <c r="C36" t="s">
        <v>1722</v>
      </c>
      <c r="D36" s="18">
        <v>12317.56</v>
      </c>
      <c r="J36" t="s">
        <v>1723</v>
      </c>
      <c r="K36" s="6">
        <v>46088</v>
      </c>
      <c r="L36" t="s">
        <v>1724</v>
      </c>
      <c r="M36" t="s">
        <v>1578</v>
      </c>
      <c r="N36" s="18">
        <v>920.22</v>
      </c>
    </row>
    <row r="37" spans="1:14" x14ac:dyDescent="0.25">
      <c r="A37" t="s">
        <v>1725</v>
      </c>
      <c r="B37" s="6">
        <v>46096</v>
      </c>
      <c r="C37" t="s">
        <v>1726</v>
      </c>
      <c r="D37" s="18">
        <v>9633.0499999999993</v>
      </c>
      <c r="J37" t="s">
        <v>1727</v>
      </c>
      <c r="K37" s="6">
        <v>46090</v>
      </c>
      <c r="L37" t="s">
        <v>1597</v>
      </c>
      <c r="M37" t="s">
        <v>1590</v>
      </c>
      <c r="N37" s="18">
        <v>13527.97</v>
      </c>
    </row>
    <row r="38" spans="1:14" x14ac:dyDescent="0.25">
      <c r="A38" t="s">
        <v>1728</v>
      </c>
      <c r="B38" s="6">
        <v>46098</v>
      </c>
      <c r="C38" t="s">
        <v>1729</v>
      </c>
      <c r="D38" s="18">
        <v>38531.199999999997</v>
      </c>
      <c r="J38" t="s">
        <v>1730</v>
      </c>
      <c r="K38" s="6">
        <v>46090</v>
      </c>
      <c r="L38" t="s">
        <v>1663</v>
      </c>
      <c r="M38" t="s">
        <v>1578</v>
      </c>
      <c r="N38" s="18">
        <v>39257.870000000003</v>
      </c>
    </row>
    <row r="39" spans="1:14" x14ac:dyDescent="0.25">
      <c r="A39" t="s">
        <v>1731</v>
      </c>
      <c r="B39" s="6">
        <v>46100</v>
      </c>
      <c r="C39" t="s">
        <v>1732</v>
      </c>
      <c r="D39" s="18">
        <v>25918.34</v>
      </c>
      <c r="J39" t="s">
        <v>1733</v>
      </c>
      <c r="K39" s="6">
        <v>46090</v>
      </c>
      <c r="L39" t="s">
        <v>1713</v>
      </c>
      <c r="M39" t="s">
        <v>1584</v>
      </c>
      <c r="N39" s="18">
        <v>7816.29</v>
      </c>
    </row>
    <row r="40" spans="1:14" x14ac:dyDescent="0.25">
      <c r="A40" t="s">
        <v>1734</v>
      </c>
      <c r="B40" s="6">
        <v>46102</v>
      </c>
      <c r="C40" t="s">
        <v>1735</v>
      </c>
      <c r="D40" s="18">
        <v>9724.14</v>
      </c>
      <c r="J40" t="s">
        <v>1736</v>
      </c>
      <c r="K40" s="6">
        <v>46090</v>
      </c>
      <c r="L40" t="s">
        <v>1737</v>
      </c>
      <c r="M40" t="s">
        <v>1590</v>
      </c>
      <c r="N40" s="18">
        <v>3933.88</v>
      </c>
    </row>
    <row r="41" spans="1:14" x14ac:dyDescent="0.25">
      <c r="A41" t="s">
        <v>1738</v>
      </c>
      <c r="B41" s="6">
        <v>46104</v>
      </c>
      <c r="C41" t="s">
        <v>1739</v>
      </c>
      <c r="D41" s="18">
        <v>20745.12</v>
      </c>
      <c r="J41" t="s">
        <v>1740</v>
      </c>
      <c r="K41" s="6">
        <v>46090</v>
      </c>
      <c r="L41" t="s">
        <v>1741</v>
      </c>
      <c r="M41" t="s">
        <v>1578</v>
      </c>
      <c r="N41" s="18">
        <v>47371.360000000001</v>
      </c>
    </row>
    <row r="42" spans="1:14" x14ac:dyDescent="0.25">
      <c r="A42" t="s">
        <v>1742</v>
      </c>
      <c r="B42" s="6">
        <v>46106</v>
      </c>
      <c r="C42" t="s">
        <v>1743</v>
      </c>
      <c r="D42" s="18">
        <v>41883.97</v>
      </c>
      <c r="J42" t="s">
        <v>1744</v>
      </c>
      <c r="K42" s="6">
        <v>46090</v>
      </c>
      <c r="L42" t="s">
        <v>1745</v>
      </c>
      <c r="M42" t="s">
        <v>1584</v>
      </c>
      <c r="N42" s="18">
        <v>29625.08</v>
      </c>
    </row>
    <row r="43" spans="1:14" x14ac:dyDescent="0.25">
      <c r="A43" t="s">
        <v>1746</v>
      </c>
      <c r="B43" s="6">
        <v>46108</v>
      </c>
      <c r="C43" t="s">
        <v>1747</v>
      </c>
      <c r="D43" s="18">
        <v>27830.98</v>
      </c>
      <c r="J43" t="s">
        <v>1748</v>
      </c>
      <c r="K43" s="6">
        <v>46090</v>
      </c>
      <c r="L43" t="s">
        <v>1749</v>
      </c>
      <c r="M43" t="s">
        <v>1590</v>
      </c>
      <c r="N43" s="18">
        <v>24493.69</v>
      </c>
    </row>
    <row r="44" spans="1:14" x14ac:dyDescent="0.25">
      <c r="A44" t="s">
        <v>1595</v>
      </c>
      <c r="B44" s="6">
        <v>46082</v>
      </c>
      <c r="C44" t="s">
        <v>1750</v>
      </c>
      <c r="D44" s="18">
        <v>26699.41</v>
      </c>
      <c r="J44" t="s">
        <v>1751</v>
      </c>
      <c r="K44" s="6">
        <v>46090</v>
      </c>
      <c r="L44" t="s">
        <v>1752</v>
      </c>
      <c r="M44" t="s">
        <v>1578</v>
      </c>
      <c r="N44" s="18">
        <v>18301.89</v>
      </c>
    </row>
    <row r="45" spans="1:14" x14ac:dyDescent="0.25">
      <c r="A45" t="s">
        <v>1640</v>
      </c>
      <c r="B45" s="6">
        <v>46084</v>
      </c>
      <c r="C45" t="s">
        <v>1753</v>
      </c>
      <c r="D45" s="18">
        <v>18935.439999999999</v>
      </c>
      <c r="J45" t="s">
        <v>1754</v>
      </c>
      <c r="K45" s="6">
        <v>46090</v>
      </c>
      <c r="L45" t="s">
        <v>1755</v>
      </c>
      <c r="M45" t="s">
        <v>1584</v>
      </c>
      <c r="N45" s="18">
        <v>39931.53</v>
      </c>
    </row>
    <row r="46" spans="1:14" x14ac:dyDescent="0.25">
      <c r="A46" t="s">
        <v>1670</v>
      </c>
      <c r="B46" s="6">
        <v>46086</v>
      </c>
      <c r="C46" t="s">
        <v>1756</v>
      </c>
      <c r="D46" s="18">
        <v>9601.24</v>
      </c>
      <c r="J46" t="s">
        <v>1757</v>
      </c>
      <c r="K46" s="6">
        <v>46092</v>
      </c>
      <c r="L46" t="s">
        <v>1601</v>
      </c>
      <c r="M46" t="s">
        <v>1635</v>
      </c>
      <c r="N46" s="18">
        <v>20092.939999999999</v>
      </c>
    </row>
    <row r="47" spans="1:14" x14ac:dyDescent="0.25">
      <c r="A47" t="s">
        <v>1703</v>
      </c>
      <c r="B47" s="6">
        <v>46088</v>
      </c>
      <c r="C47" t="s">
        <v>1758</v>
      </c>
      <c r="D47" s="18">
        <v>30113.09</v>
      </c>
      <c r="J47" t="s">
        <v>1759</v>
      </c>
      <c r="K47" s="6">
        <v>46092</v>
      </c>
      <c r="L47" t="s">
        <v>1667</v>
      </c>
      <c r="M47" t="s">
        <v>1624</v>
      </c>
      <c r="N47" s="18">
        <v>17439.57</v>
      </c>
    </row>
    <row r="48" spans="1:14" x14ac:dyDescent="0.25">
      <c r="A48" t="s">
        <v>1737</v>
      </c>
      <c r="B48" s="6">
        <v>46090</v>
      </c>
      <c r="C48" t="s">
        <v>1760</v>
      </c>
      <c r="D48" s="18">
        <v>3933.88</v>
      </c>
      <c r="J48" t="s">
        <v>1761</v>
      </c>
      <c r="K48" s="6">
        <v>46092</v>
      </c>
      <c r="L48" t="s">
        <v>1717</v>
      </c>
      <c r="M48" t="s">
        <v>1630</v>
      </c>
      <c r="N48" s="18">
        <v>6470</v>
      </c>
    </row>
    <row r="49" spans="1:14" x14ac:dyDescent="0.25">
      <c r="A49" t="s">
        <v>1762</v>
      </c>
      <c r="B49" s="6">
        <v>46092</v>
      </c>
      <c r="C49" t="s">
        <v>1763</v>
      </c>
      <c r="D49" s="18">
        <v>37790.57</v>
      </c>
      <c r="J49" t="s">
        <v>1764</v>
      </c>
      <c r="K49" s="6">
        <v>46092</v>
      </c>
      <c r="L49" t="s">
        <v>1762</v>
      </c>
      <c r="M49" t="s">
        <v>1635</v>
      </c>
      <c r="N49" s="18">
        <v>37790.57</v>
      </c>
    </row>
    <row r="50" spans="1:14" x14ac:dyDescent="0.25">
      <c r="A50" t="s">
        <v>1765</v>
      </c>
      <c r="B50" s="6">
        <v>46094</v>
      </c>
      <c r="C50" t="s">
        <v>1766</v>
      </c>
      <c r="D50" s="18">
        <v>2996.81</v>
      </c>
      <c r="J50" t="s">
        <v>1767</v>
      </c>
      <c r="K50" s="6">
        <v>46092</v>
      </c>
      <c r="L50" t="s">
        <v>1768</v>
      </c>
      <c r="M50" t="s">
        <v>1624</v>
      </c>
      <c r="N50" s="18">
        <v>17290.14</v>
      </c>
    </row>
    <row r="51" spans="1:14" x14ac:dyDescent="0.25">
      <c r="A51" t="s">
        <v>1769</v>
      </c>
      <c r="B51" s="6">
        <v>46096</v>
      </c>
      <c r="C51" t="s">
        <v>1770</v>
      </c>
      <c r="D51" s="18">
        <v>35888.080000000002</v>
      </c>
      <c r="J51" t="s">
        <v>1771</v>
      </c>
      <c r="K51" s="6">
        <v>46092</v>
      </c>
      <c r="L51" t="s">
        <v>1772</v>
      </c>
      <c r="M51" t="s">
        <v>1630</v>
      </c>
      <c r="N51" s="18">
        <v>36289.24</v>
      </c>
    </row>
    <row r="52" spans="1:14" x14ac:dyDescent="0.25">
      <c r="A52" t="s">
        <v>1773</v>
      </c>
      <c r="B52" s="6">
        <v>46098</v>
      </c>
      <c r="C52" t="s">
        <v>1774</v>
      </c>
      <c r="D52" s="18">
        <v>18520.54</v>
      </c>
      <c r="J52" t="s">
        <v>1775</v>
      </c>
      <c r="K52" s="6">
        <v>46092</v>
      </c>
      <c r="L52" t="s">
        <v>1776</v>
      </c>
      <c r="M52" t="s">
        <v>1635</v>
      </c>
      <c r="N52" s="18">
        <v>6054.77</v>
      </c>
    </row>
    <row r="53" spans="1:14" x14ac:dyDescent="0.25">
      <c r="A53" t="s">
        <v>1777</v>
      </c>
      <c r="B53" s="6">
        <v>46100</v>
      </c>
      <c r="C53" t="s">
        <v>1778</v>
      </c>
      <c r="D53" s="18">
        <v>32835.15</v>
      </c>
      <c r="J53" t="s">
        <v>1779</v>
      </c>
      <c r="K53" s="6">
        <v>46092</v>
      </c>
      <c r="L53" t="s">
        <v>1780</v>
      </c>
      <c r="M53" t="s">
        <v>1624</v>
      </c>
      <c r="N53" s="18">
        <v>23266.959999999999</v>
      </c>
    </row>
    <row r="54" spans="1:14" x14ac:dyDescent="0.25">
      <c r="A54" t="s">
        <v>1781</v>
      </c>
      <c r="B54" s="6">
        <v>46102</v>
      </c>
      <c r="C54" t="s">
        <v>1782</v>
      </c>
      <c r="D54" s="18">
        <v>28470.51</v>
      </c>
      <c r="J54" t="s">
        <v>1783</v>
      </c>
      <c r="K54" s="6">
        <v>46092</v>
      </c>
      <c r="L54" t="s">
        <v>1784</v>
      </c>
      <c r="M54" t="s">
        <v>1630</v>
      </c>
      <c r="N54" s="18">
        <v>6438.4</v>
      </c>
    </row>
    <row r="55" spans="1:14" x14ac:dyDescent="0.25">
      <c r="A55" t="s">
        <v>1785</v>
      </c>
      <c r="B55" s="6">
        <v>46104</v>
      </c>
      <c r="C55" t="s">
        <v>1786</v>
      </c>
      <c r="D55" s="18">
        <v>6418.14</v>
      </c>
      <c r="J55" t="s">
        <v>1787</v>
      </c>
      <c r="K55" s="6">
        <v>46093</v>
      </c>
      <c r="L55" t="s">
        <v>1788</v>
      </c>
      <c r="M55" t="s">
        <v>1624</v>
      </c>
      <c r="N55" s="18">
        <v>2886.32</v>
      </c>
    </row>
    <row r="56" spans="1:14" x14ac:dyDescent="0.25">
      <c r="A56" t="s">
        <v>1789</v>
      </c>
      <c r="B56" s="6">
        <v>46106</v>
      </c>
      <c r="C56" t="s">
        <v>1790</v>
      </c>
      <c r="D56" s="18">
        <v>25963.48</v>
      </c>
      <c r="J56" t="s">
        <v>1791</v>
      </c>
      <c r="K56" s="6">
        <v>46094</v>
      </c>
      <c r="L56" t="s">
        <v>1606</v>
      </c>
      <c r="M56" t="s">
        <v>1578</v>
      </c>
      <c r="N56" s="18">
        <v>28659.66</v>
      </c>
    </row>
    <row r="57" spans="1:14" x14ac:dyDescent="0.25">
      <c r="A57" t="s">
        <v>1792</v>
      </c>
      <c r="B57" s="6">
        <v>46108</v>
      </c>
      <c r="C57" t="s">
        <v>1793</v>
      </c>
      <c r="D57" s="18">
        <v>3791.5</v>
      </c>
      <c r="J57" t="s">
        <v>1794</v>
      </c>
      <c r="K57" s="6">
        <v>46094</v>
      </c>
      <c r="L57" t="s">
        <v>1671</v>
      </c>
      <c r="M57" t="s">
        <v>1584</v>
      </c>
      <c r="N57" s="18">
        <v>7483.48</v>
      </c>
    </row>
    <row r="58" spans="1:14" x14ac:dyDescent="0.25">
      <c r="A58" t="s">
        <v>1600</v>
      </c>
      <c r="B58" s="6">
        <v>46082</v>
      </c>
      <c r="C58" t="s">
        <v>1795</v>
      </c>
      <c r="D58" s="18">
        <v>11768.17</v>
      </c>
      <c r="J58" t="s">
        <v>1796</v>
      </c>
      <c r="K58" s="6">
        <v>46094</v>
      </c>
      <c r="L58" t="s">
        <v>1721</v>
      </c>
      <c r="M58" t="s">
        <v>1590</v>
      </c>
      <c r="N58" s="18">
        <v>12317.56</v>
      </c>
    </row>
    <row r="59" spans="1:14" x14ac:dyDescent="0.25">
      <c r="A59" t="s">
        <v>1797</v>
      </c>
      <c r="B59" s="6">
        <v>46084</v>
      </c>
      <c r="C59" t="s">
        <v>1798</v>
      </c>
      <c r="D59" s="18">
        <v>18474.689999999999</v>
      </c>
      <c r="J59" t="s">
        <v>1799</v>
      </c>
      <c r="K59" s="6">
        <v>46094</v>
      </c>
      <c r="L59" t="s">
        <v>1765</v>
      </c>
      <c r="M59" t="s">
        <v>1578</v>
      </c>
      <c r="N59" s="18">
        <v>2996.81</v>
      </c>
    </row>
    <row r="60" spans="1:14" x14ac:dyDescent="0.25">
      <c r="A60" t="s">
        <v>1674</v>
      </c>
      <c r="B60" s="6">
        <v>46086</v>
      </c>
      <c r="C60" t="s">
        <v>1800</v>
      </c>
      <c r="D60" s="18">
        <v>13890.8</v>
      </c>
      <c r="J60" t="s">
        <v>1801</v>
      </c>
      <c r="K60" s="6">
        <v>46094</v>
      </c>
      <c r="L60" t="s">
        <v>1802</v>
      </c>
      <c r="M60" t="s">
        <v>1584</v>
      </c>
      <c r="N60" s="18">
        <v>40293.01</v>
      </c>
    </row>
    <row r="61" spans="1:14" x14ac:dyDescent="0.25">
      <c r="A61" t="s">
        <v>1706</v>
      </c>
      <c r="B61" s="6">
        <v>46088</v>
      </c>
      <c r="C61" t="s">
        <v>1803</v>
      </c>
      <c r="D61" s="18">
        <v>31849.01</v>
      </c>
      <c r="J61" t="s">
        <v>1804</v>
      </c>
      <c r="K61" s="6">
        <v>46094</v>
      </c>
      <c r="L61" t="s">
        <v>1805</v>
      </c>
      <c r="M61" t="s">
        <v>1590</v>
      </c>
      <c r="N61" s="18">
        <v>12421.31</v>
      </c>
    </row>
    <row r="62" spans="1:14" x14ac:dyDescent="0.25">
      <c r="A62" t="s">
        <v>1741</v>
      </c>
      <c r="B62" s="6">
        <v>46090</v>
      </c>
      <c r="C62" t="s">
        <v>1806</v>
      </c>
      <c r="D62" s="18">
        <v>47371.360000000001</v>
      </c>
      <c r="J62" t="s">
        <v>1807</v>
      </c>
      <c r="K62" s="6">
        <v>46094</v>
      </c>
      <c r="L62" t="s">
        <v>1808</v>
      </c>
      <c r="M62" t="s">
        <v>1578</v>
      </c>
      <c r="N62" s="18">
        <v>43512.46</v>
      </c>
    </row>
    <row r="63" spans="1:14" x14ac:dyDescent="0.25">
      <c r="A63" t="s">
        <v>1768</v>
      </c>
      <c r="B63" s="6">
        <v>46092</v>
      </c>
      <c r="C63" t="s">
        <v>1809</v>
      </c>
      <c r="D63" s="18">
        <v>17290.14</v>
      </c>
      <c r="J63" t="s">
        <v>1810</v>
      </c>
      <c r="K63" s="6">
        <v>46094</v>
      </c>
      <c r="L63" t="s">
        <v>1811</v>
      </c>
      <c r="M63" t="s">
        <v>1590</v>
      </c>
      <c r="N63" s="18">
        <v>26966.74</v>
      </c>
    </row>
    <row r="64" spans="1:14" x14ac:dyDescent="0.25">
      <c r="A64" t="s">
        <v>1802</v>
      </c>
      <c r="B64" s="6">
        <v>46094</v>
      </c>
      <c r="C64" t="s">
        <v>1812</v>
      </c>
      <c r="D64" s="18">
        <v>40293.01</v>
      </c>
      <c r="J64" t="s">
        <v>1813</v>
      </c>
      <c r="K64" s="6">
        <v>46095</v>
      </c>
      <c r="L64" t="s">
        <v>1814</v>
      </c>
      <c r="M64" t="s">
        <v>1584</v>
      </c>
      <c r="N64" s="18">
        <v>29548.53</v>
      </c>
    </row>
    <row r="65" spans="1:14" x14ac:dyDescent="0.25">
      <c r="A65" t="s">
        <v>1815</v>
      </c>
      <c r="B65" s="6">
        <v>46096</v>
      </c>
      <c r="C65" t="s">
        <v>1816</v>
      </c>
      <c r="D65" s="18">
        <v>10998.49</v>
      </c>
      <c r="J65" t="s">
        <v>1817</v>
      </c>
      <c r="K65" s="6">
        <v>46096</v>
      </c>
      <c r="L65" t="s">
        <v>1611</v>
      </c>
      <c r="M65" t="s">
        <v>1624</v>
      </c>
      <c r="N65" s="18">
        <v>47336.97</v>
      </c>
    </row>
    <row r="66" spans="1:14" x14ac:dyDescent="0.25">
      <c r="A66" t="s">
        <v>1818</v>
      </c>
      <c r="B66" s="6">
        <v>46098</v>
      </c>
      <c r="C66" t="s">
        <v>1819</v>
      </c>
      <c r="D66" s="18">
        <v>34120.550000000003</v>
      </c>
      <c r="J66" t="s">
        <v>1820</v>
      </c>
      <c r="K66" s="6">
        <v>46096</v>
      </c>
      <c r="L66" t="s">
        <v>1675</v>
      </c>
      <c r="M66" t="s">
        <v>1630</v>
      </c>
      <c r="N66" s="18">
        <v>27318.25</v>
      </c>
    </row>
    <row r="67" spans="1:14" x14ac:dyDescent="0.25">
      <c r="A67" t="s">
        <v>1821</v>
      </c>
      <c r="B67" s="6">
        <v>46100</v>
      </c>
      <c r="C67" t="s">
        <v>1822</v>
      </c>
      <c r="D67" s="18">
        <v>16853.650000000001</v>
      </c>
      <c r="J67" t="s">
        <v>1823</v>
      </c>
      <c r="K67" s="6">
        <v>46096</v>
      </c>
      <c r="L67" t="s">
        <v>1725</v>
      </c>
      <c r="M67" t="s">
        <v>1635</v>
      </c>
      <c r="N67" s="18">
        <v>9633.0499999999993</v>
      </c>
    </row>
    <row r="68" spans="1:14" x14ac:dyDescent="0.25">
      <c r="A68" t="s">
        <v>1824</v>
      </c>
      <c r="B68" s="6">
        <v>46102</v>
      </c>
      <c r="C68" t="s">
        <v>1825</v>
      </c>
      <c r="D68" s="18">
        <v>25813.599999999999</v>
      </c>
      <c r="J68" t="s">
        <v>1826</v>
      </c>
      <c r="K68" s="6">
        <v>46096</v>
      </c>
      <c r="L68" t="s">
        <v>1769</v>
      </c>
      <c r="M68" t="s">
        <v>1624</v>
      </c>
      <c r="N68" s="18">
        <v>35888.080000000002</v>
      </c>
    </row>
    <row r="69" spans="1:14" x14ac:dyDescent="0.25">
      <c r="A69" t="s">
        <v>1827</v>
      </c>
      <c r="B69" s="6">
        <v>46104</v>
      </c>
      <c r="C69" t="s">
        <v>1828</v>
      </c>
      <c r="D69" s="18">
        <v>4479.8599999999997</v>
      </c>
      <c r="J69" t="s">
        <v>1829</v>
      </c>
      <c r="K69" s="6">
        <v>46096</v>
      </c>
      <c r="L69" t="s">
        <v>1815</v>
      </c>
      <c r="M69" t="s">
        <v>1630</v>
      </c>
      <c r="N69" s="18">
        <v>10998.49</v>
      </c>
    </row>
    <row r="70" spans="1:14" x14ac:dyDescent="0.25">
      <c r="A70" t="s">
        <v>1830</v>
      </c>
      <c r="B70" s="6">
        <v>46106</v>
      </c>
      <c r="C70" t="s">
        <v>1831</v>
      </c>
      <c r="D70" s="18">
        <v>39756.120000000003</v>
      </c>
      <c r="J70" t="s">
        <v>1832</v>
      </c>
      <c r="K70" s="6">
        <v>46096</v>
      </c>
      <c r="L70" t="s">
        <v>1833</v>
      </c>
      <c r="M70" t="s">
        <v>1635</v>
      </c>
      <c r="N70" s="18">
        <v>3031.35</v>
      </c>
    </row>
    <row r="71" spans="1:14" x14ac:dyDescent="0.25">
      <c r="A71" t="s">
        <v>1834</v>
      </c>
      <c r="B71" s="6">
        <v>46108</v>
      </c>
      <c r="C71" t="s">
        <v>1835</v>
      </c>
      <c r="D71" s="18">
        <v>10221.879999999999</v>
      </c>
      <c r="J71" t="s">
        <v>1836</v>
      </c>
      <c r="K71" s="6">
        <v>46096</v>
      </c>
      <c r="L71" t="s">
        <v>1837</v>
      </c>
      <c r="M71" t="s">
        <v>1624</v>
      </c>
      <c r="N71" s="18">
        <v>34050.42</v>
      </c>
    </row>
    <row r="72" spans="1:14" x14ac:dyDescent="0.25">
      <c r="A72" t="s">
        <v>1604</v>
      </c>
      <c r="B72" s="6">
        <v>46082</v>
      </c>
      <c r="C72" t="s">
        <v>1838</v>
      </c>
      <c r="D72" s="18">
        <v>22379.87</v>
      </c>
      <c r="J72" t="s">
        <v>1839</v>
      </c>
      <c r="K72" s="6">
        <v>46096</v>
      </c>
      <c r="L72" t="s">
        <v>1840</v>
      </c>
      <c r="M72" t="s">
        <v>1630</v>
      </c>
      <c r="N72" s="18">
        <v>13030.78</v>
      </c>
    </row>
    <row r="73" spans="1:14" x14ac:dyDescent="0.25">
      <c r="A73" t="s">
        <v>1645</v>
      </c>
      <c r="B73" s="6">
        <v>46084</v>
      </c>
      <c r="C73" t="s">
        <v>1841</v>
      </c>
      <c r="D73" s="18">
        <v>14111.62</v>
      </c>
      <c r="J73" t="s">
        <v>1842</v>
      </c>
      <c r="K73" s="6">
        <v>46096</v>
      </c>
      <c r="L73" t="s">
        <v>1843</v>
      </c>
      <c r="M73" t="s">
        <v>1635</v>
      </c>
      <c r="N73" s="18">
        <v>21925.19</v>
      </c>
    </row>
    <row r="74" spans="1:14" x14ac:dyDescent="0.25">
      <c r="A74" t="s">
        <v>1678</v>
      </c>
      <c r="B74" s="6">
        <v>46086</v>
      </c>
      <c r="C74" t="s">
        <v>1844</v>
      </c>
      <c r="D74" s="18">
        <v>38937.19</v>
      </c>
      <c r="J74" t="s">
        <v>1845</v>
      </c>
      <c r="K74" s="6">
        <v>46098</v>
      </c>
      <c r="L74" t="s">
        <v>1616</v>
      </c>
      <c r="M74" t="s">
        <v>1584</v>
      </c>
      <c r="N74" s="18">
        <v>34034.300000000003</v>
      </c>
    </row>
    <row r="75" spans="1:14" x14ac:dyDescent="0.25">
      <c r="A75" t="s">
        <v>1709</v>
      </c>
      <c r="B75" s="6">
        <v>46088</v>
      </c>
      <c r="C75" t="s">
        <v>1846</v>
      </c>
      <c r="D75" s="18">
        <v>28546.400000000001</v>
      </c>
      <c r="J75" t="s">
        <v>1847</v>
      </c>
      <c r="K75" s="6">
        <v>46098</v>
      </c>
      <c r="L75" t="s">
        <v>1679</v>
      </c>
      <c r="M75" t="s">
        <v>1590</v>
      </c>
      <c r="N75" s="18">
        <v>40591.269999999997</v>
      </c>
    </row>
    <row r="76" spans="1:14" x14ac:dyDescent="0.25">
      <c r="A76" t="s">
        <v>1745</v>
      </c>
      <c r="B76" s="6">
        <v>46090</v>
      </c>
      <c r="C76" t="s">
        <v>1848</v>
      </c>
      <c r="D76" s="18">
        <v>29625.08</v>
      </c>
      <c r="J76" t="s">
        <v>1849</v>
      </c>
      <c r="K76" s="6">
        <v>46098</v>
      </c>
      <c r="L76" t="s">
        <v>1728</v>
      </c>
      <c r="M76" t="s">
        <v>1578</v>
      </c>
      <c r="N76" s="18">
        <v>38531.199999999997</v>
      </c>
    </row>
    <row r="77" spans="1:14" x14ac:dyDescent="0.25">
      <c r="A77" t="s">
        <v>1772</v>
      </c>
      <c r="B77" s="6">
        <v>46092</v>
      </c>
      <c r="C77" t="s">
        <v>1850</v>
      </c>
      <c r="D77" s="18">
        <v>36289.24</v>
      </c>
      <c r="J77" t="s">
        <v>1851</v>
      </c>
      <c r="K77" s="6">
        <v>46098</v>
      </c>
      <c r="L77" t="s">
        <v>1773</v>
      </c>
      <c r="M77" t="s">
        <v>1584</v>
      </c>
      <c r="N77" s="18">
        <v>18520.54</v>
      </c>
    </row>
    <row r="78" spans="1:14" x14ac:dyDescent="0.25">
      <c r="A78" t="s">
        <v>1805</v>
      </c>
      <c r="B78" s="6">
        <v>46094</v>
      </c>
      <c r="C78" t="s">
        <v>1852</v>
      </c>
      <c r="D78" s="18">
        <v>12421.31</v>
      </c>
      <c r="J78" t="s">
        <v>1853</v>
      </c>
      <c r="K78" s="6">
        <v>46098</v>
      </c>
      <c r="L78" t="s">
        <v>1818</v>
      </c>
      <c r="M78" t="s">
        <v>1590</v>
      </c>
      <c r="N78" s="18">
        <v>34120.550000000003</v>
      </c>
    </row>
    <row r="79" spans="1:14" x14ac:dyDescent="0.25">
      <c r="A79" t="s">
        <v>1833</v>
      </c>
      <c r="B79" s="6">
        <v>46096</v>
      </c>
      <c r="C79" t="s">
        <v>1854</v>
      </c>
      <c r="D79" s="18">
        <v>3031.35</v>
      </c>
      <c r="J79" t="s">
        <v>1855</v>
      </c>
      <c r="K79" s="6">
        <v>46098</v>
      </c>
      <c r="L79" t="s">
        <v>1856</v>
      </c>
      <c r="M79" t="s">
        <v>1578</v>
      </c>
      <c r="N79" s="18">
        <v>39813.519999999997</v>
      </c>
    </row>
    <row r="80" spans="1:14" x14ac:dyDescent="0.25">
      <c r="A80" t="s">
        <v>1856</v>
      </c>
      <c r="B80" s="6">
        <v>46098</v>
      </c>
      <c r="C80" t="s">
        <v>1857</v>
      </c>
      <c r="D80" s="18">
        <v>39813.519999999997</v>
      </c>
      <c r="J80" t="s">
        <v>1858</v>
      </c>
      <c r="K80" s="6">
        <v>46098</v>
      </c>
      <c r="L80" t="s">
        <v>1859</v>
      </c>
      <c r="M80" t="s">
        <v>1584</v>
      </c>
      <c r="N80" s="18">
        <v>39370.720000000001</v>
      </c>
    </row>
    <row r="81" spans="1:14" x14ac:dyDescent="0.25">
      <c r="A81" t="s">
        <v>1860</v>
      </c>
      <c r="B81" s="6">
        <v>46100</v>
      </c>
      <c r="C81" t="s">
        <v>1861</v>
      </c>
      <c r="D81" s="18">
        <v>15320.15</v>
      </c>
      <c r="J81" t="s">
        <v>1862</v>
      </c>
      <c r="K81" s="6">
        <v>46098</v>
      </c>
      <c r="L81" t="s">
        <v>1863</v>
      </c>
      <c r="M81" t="s">
        <v>1590</v>
      </c>
      <c r="N81" s="18">
        <v>30735.200000000001</v>
      </c>
    </row>
    <row r="82" spans="1:14" x14ac:dyDescent="0.25">
      <c r="A82" t="s">
        <v>1864</v>
      </c>
      <c r="B82" s="6">
        <v>46102</v>
      </c>
      <c r="C82" t="s">
        <v>1865</v>
      </c>
      <c r="D82" s="18">
        <v>39035.949999999997</v>
      </c>
      <c r="J82" t="s">
        <v>1866</v>
      </c>
      <c r="K82" s="6">
        <v>46098</v>
      </c>
      <c r="L82" t="s">
        <v>1867</v>
      </c>
      <c r="M82" t="s">
        <v>1584</v>
      </c>
      <c r="N82" s="18">
        <v>9945.6</v>
      </c>
    </row>
    <row r="83" spans="1:14" x14ac:dyDescent="0.25">
      <c r="A83" t="s">
        <v>1868</v>
      </c>
      <c r="B83" s="6">
        <v>46104</v>
      </c>
      <c r="C83" t="s">
        <v>1869</v>
      </c>
      <c r="D83" s="18">
        <v>45929.53</v>
      </c>
      <c r="J83" t="s">
        <v>1870</v>
      </c>
      <c r="K83" s="6">
        <v>46100</v>
      </c>
      <c r="L83" t="s">
        <v>1621</v>
      </c>
      <c r="M83" t="s">
        <v>1630</v>
      </c>
      <c r="N83" s="18">
        <v>15449.79</v>
      </c>
    </row>
    <row r="84" spans="1:14" x14ac:dyDescent="0.25">
      <c r="A84" t="s">
        <v>1871</v>
      </c>
      <c r="B84" s="6">
        <v>46106</v>
      </c>
      <c r="C84" t="s">
        <v>1872</v>
      </c>
      <c r="D84" s="18">
        <v>30293.88</v>
      </c>
      <c r="J84" t="s">
        <v>1873</v>
      </c>
      <c r="K84" s="6">
        <v>46100</v>
      </c>
      <c r="L84" t="s">
        <v>1683</v>
      </c>
      <c r="M84" t="s">
        <v>1635</v>
      </c>
      <c r="N84" s="18">
        <v>37521.79</v>
      </c>
    </row>
    <row r="85" spans="1:14" x14ac:dyDescent="0.25">
      <c r="A85" t="s">
        <v>1874</v>
      </c>
      <c r="B85" s="6">
        <v>46108</v>
      </c>
      <c r="C85" t="s">
        <v>1875</v>
      </c>
      <c r="D85" s="18">
        <v>5182.1899999999996</v>
      </c>
      <c r="J85" t="s">
        <v>1876</v>
      </c>
      <c r="K85" s="6">
        <v>46100</v>
      </c>
      <c r="L85" t="s">
        <v>1731</v>
      </c>
      <c r="M85" t="s">
        <v>1624</v>
      </c>
      <c r="N85" s="18">
        <v>25918.34</v>
      </c>
    </row>
    <row r="86" spans="1:14" x14ac:dyDescent="0.25">
      <c r="A86" t="s">
        <v>1609</v>
      </c>
      <c r="B86" s="6">
        <v>46082</v>
      </c>
      <c r="C86" t="s">
        <v>1877</v>
      </c>
      <c r="D86" s="18">
        <v>41027.89</v>
      </c>
      <c r="J86" t="s">
        <v>1878</v>
      </c>
      <c r="K86" s="6">
        <v>46100</v>
      </c>
      <c r="L86" t="s">
        <v>1777</v>
      </c>
      <c r="M86" t="s">
        <v>1630</v>
      </c>
      <c r="N86" s="18">
        <v>32835.15</v>
      </c>
    </row>
    <row r="87" spans="1:14" x14ac:dyDescent="0.25">
      <c r="A87" t="s">
        <v>1649</v>
      </c>
      <c r="B87" s="6">
        <v>46084</v>
      </c>
      <c r="C87" t="s">
        <v>1879</v>
      </c>
      <c r="D87" s="18">
        <v>30496.19</v>
      </c>
      <c r="J87" t="s">
        <v>1880</v>
      </c>
      <c r="K87" s="6">
        <v>46100</v>
      </c>
      <c r="L87" t="s">
        <v>1821</v>
      </c>
      <c r="M87" t="s">
        <v>1635</v>
      </c>
      <c r="N87" s="18">
        <v>16853.650000000001</v>
      </c>
    </row>
    <row r="88" spans="1:14" x14ac:dyDescent="0.25">
      <c r="A88" t="s">
        <v>1682</v>
      </c>
      <c r="B88" s="6">
        <v>46086</v>
      </c>
      <c r="C88" t="s">
        <v>1881</v>
      </c>
      <c r="D88" s="18">
        <v>11991.69</v>
      </c>
      <c r="J88" t="s">
        <v>1882</v>
      </c>
      <c r="K88" s="6">
        <v>46100</v>
      </c>
      <c r="L88" t="s">
        <v>1860</v>
      </c>
      <c r="M88" t="s">
        <v>1624</v>
      </c>
      <c r="N88" s="18">
        <v>15320.15</v>
      </c>
    </row>
    <row r="89" spans="1:14" x14ac:dyDescent="0.25">
      <c r="A89" t="s">
        <v>1712</v>
      </c>
      <c r="B89" s="6">
        <v>46088</v>
      </c>
      <c r="C89" t="s">
        <v>1883</v>
      </c>
      <c r="D89" s="18">
        <v>10175.89</v>
      </c>
      <c r="J89" t="s">
        <v>1884</v>
      </c>
      <c r="K89" s="6">
        <v>46100</v>
      </c>
      <c r="L89" t="s">
        <v>1885</v>
      </c>
      <c r="M89" t="s">
        <v>1630</v>
      </c>
      <c r="N89" s="18">
        <v>18577.43</v>
      </c>
    </row>
    <row r="90" spans="1:14" x14ac:dyDescent="0.25">
      <c r="A90" t="s">
        <v>1749</v>
      </c>
      <c r="B90" s="6">
        <v>46090</v>
      </c>
      <c r="C90" t="s">
        <v>1886</v>
      </c>
      <c r="D90" s="18">
        <v>24493.69</v>
      </c>
      <c r="J90" t="s">
        <v>1887</v>
      </c>
      <c r="K90" s="6">
        <v>46100</v>
      </c>
      <c r="L90" t="s">
        <v>1888</v>
      </c>
      <c r="M90" t="s">
        <v>1635</v>
      </c>
      <c r="N90" s="18">
        <v>32317.56</v>
      </c>
    </row>
    <row r="91" spans="1:14" x14ac:dyDescent="0.25">
      <c r="A91" t="s">
        <v>1776</v>
      </c>
      <c r="B91" s="6">
        <v>46092</v>
      </c>
      <c r="C91" t="s">
        <v>1889</v>
      </c>
      <c r="D91" s="18">
        <v>6054.77</v>
      </c>
      <c r="J91" t="s">
        <v>1890</v>
      </c>
      <c r="K91" s="6">
        <v>46102</v>
      </c>
      <c r="L91" t="s">
        <v>1626</v>
      </c>
      <c r="M91" t="s">
        <v>1590</v>
      </c>
      <c r="N91" s="18">
        <v>25781.37</v>
      </c>
    </row>
    <row r="92" spans="1:14" x14ac:dyDescent="0.25">
      <c r="A92" t="s">
        <v>1808</v>
      </c>
      <c r="B92" s="6">
        <v>46094</v>
      </c>
      <c r="C92" t="s">
        <v>1891</v>
      </c>
      <c r="D92" s="18">
        <v>43512.46</v>
      </c>
      <c r="J92" t="s">
        <v>1892</v>
      </c>
      <c r="K92" s="6">
        <v>46102</v>
      </c>
      <c r="L92" t="s">
        <v>1687</v>
      </c>
      <c r="M92" t="s">
        <v>1578</v>
      </c>
      <c r="N92" s="18">
        <v>29952.42</v>
      </c>
    </row>
    <row r="93" spans="1:14" x14ac:dyDescent="0.25">
      <c r="A93" t="s">
        <v>1837</v>
      </c>
      <c r="B93" s="6">
        <v>46096</v>
      </c>
      <c r="C93" t="s">
        <v>1893</v>
      </c>
      <c r="D93" s="18">
        <v>34050.42</v>
      </c>
      <c r="J93" t="s">
        <v>1894</v>
      </c>
      <c r="K93" s="6">
        <v>46102</v>
      </c>
      <c r="L93" t="s">
        <v>1734</v>
      </c>
      <c r="M93" t="s">
        <v>1584</v>
      </c>
      <c r="N93" s="18">
        <v>9724.14</v>
      </c>
    </row>
    <row r="94" spans="1:14" x14ac:dyDescent="0.25">
      <c r="A94" t="s">
        <v>1859</v>
      </c>
      <c r="B94" s="6">
        <v>46098</v>
      </c>
      <c r="C94" t="s">
        <v>1895</v>
      </c>
      <c r="D94" s="18">
        <v>39370.720000000001</v>
      </c>
      <c r="J94" t="s">
        <v>1896</v>
      </c>
      <c r="K94" s="6">
        <v>46102</v>
      </c>
      <c r="L94" t="s">
        <v>1781</v>
      </c>
      <c r="M94" t="s">
        <v>1590</v>
      </c>
      <c r="N94" s="18">
        <v>28470.51</v>
      </c>
    </row>
    <row r="95" spans="1:14" x14ac:dyDescent="0.25">
      <c r="A95" t="s">
        <v>1885</v>
      </c>
      <c r="B95" s="6">
        <v>46100</v>
      </c>
      <c r="C95" t="s">
        <v>1897</v>
      </c>
      <c r="D95" s="18">
        <v>18577.43</v>
      </c>
      <c r="J95" t="s">
        <v>1898</v>
      </c>
      <c r="K95" s="6">
        <v>46102</v>
      </c>
      <c r="L95" t="s">
        <v>1824</v>
      </c>
      <c r="M95" t="s">
        <v>1578</v>
      </c>
      <c r="N95" s="18">
        <v>25813.599999999999</v>
      </c>
    </row>
    <row r="96" spans="1:14" x14ac:dyDescent="0.25">
      <c r="A96" t="s">
        <v>1899</v>
      </c>
      <c r="B96" s="6">
        <v>46102</v>
      </c>
      <c r="C96" t="s">
        <v>1900</v>
      </c>
      <c r="D96" s="18">
        <v>44332.38</v>
      </c>
      <c r="J96" t="s">
        <v>1901</v>
      </c>
      <c r="K96" s="6">
        <v>46102</v>
      </c>
      <c r="L96" t="s">
        <v>1864</v>
      </c>
      <c r="M96" t="s">
        <v>1584</v>
      </c>
      <c r="N96" s="18">
        <v>39035.949999999997</v>
      </c>
    </row>
    <row r="97" spans="1:14" x14ac:dyDescent="0.25">
      <c r="A97" t="s">
        <v>1902</v>
      </c>
      <c r="B97" s="6">
        <v>46104</v>
      </c>
      <c r="C97" t="s">
        <v>1903</v>
      </c>
      <c r="D97" s="18">
        <v>6646.34</v>
      </c>
      <c r="J97" t="s">
        <v>1904</v>
      </c>
      <c r="K97" s="6">
        <v>46102</v>
      </c>
      <c r="L97" t="s">
        <v>1899</v>
      </c>
      <c r="M97" t="s">
        <v>1590</v>
      </c>
      <c r="N97" s="18">
        <v>44332.38</v>
      </c>
    </row>
    <row r="98" spans="1:14" x14ac:dyDescent="0.25">
      <c r="A98" t="s">
        <v>1905</v>
      </c>
      <c r="B98" s="6">
        <v>46106</v>
      </c>
      <c r="C98" t="s">
        <v>1906</v>
      </c>
      <c r="D98" s="18">
        <v>34450.94</v>
      </c>
      <c r="J98" t="s">
        <v>1907</v>
      </c>
      <c r="K98" s="6">
        <v>46102</v>
      </c>
      <c r="L98" t="s">
        <v>1908</v>
      </c>
      <c r="M98" t="s">
        <v>1578</v>
      </c>
      <c r="N98" s="18">
        <v>44245.38</v>
      </c>
    </row>
    <row r="99" spans="1:14" x14ac:dyDescent="0.25">
      <c r="A99" t="s">
        <v>1909</v>
      </c>
      <c r="B99" s="6">
        <v>46108</v>
      </c>
      <c r="C99" t="s">
        <v>1910</v>
      </c>
      <c r="D99" s="18">
        <v>12407.34</v>
      </c>
      <c r="J99" t="s">
        <v>1911</v>
      </c>
      <c r="K99" s="6">
        <v>46104</v>
      </c>
      <c r="L99" t="s">
        <v>1631</v>
      </c>
      <c r="M99" t="s">
        <v>1635</v>
      </c>
      <c r="N99" s="18">
        <v>21674.73</v>
      </c>
    </row>
    <row r="100" spans="1:14" x14ac:dyDescent="0.25">
      <c r="A100" t="s">
        <v>1614</v>
      </c>
      <c r="B100" s="6">
        <v>46082</v>
      </c>
      <c r="C100" t="s">
        <v>1912</v>
      </c>
      <c r="D100" s="18">
        <v>423.41</v>
      </c>
      <c r="J100" t="s">
        <v>1913</v>
      </c>
      <c r="K100" s="6">
        <v>46104</v>
      </c>
      <c r="L100" t="s">
        <v>1691</v>
      </c>
      <c r="M100" t="s">
        <v>1624</v>
      </c>
      <c r="N100" s="18">
        <v>35157.06</v>
      </c>
    </row>
    <row r="101" spans="1:14" x14ac:dyDescent="0.25">
      <c r="A101" t="s">
        <v>1652</v>
      </c>
      <c r="B101" s="6">
        <v>46084</v>
      </c>
      <c r="C101" t="s">
        <v>1914</v>
      </c>
      <c r="D101" s="18">
        <v>6022.57</v>
      </c>
      <c r="J101" t="s">
        <v>1915</v>
      </c>
      <c r="K101" s="6">
        <v>46104</v>
      </c>
      <c r="L101" t="s">
        <v>1738</v>
      </c>
      <c r="M101" t="s">
        <v>1630</v>
      </c>
      <c r="N101" s="18">
        <v>20745.12</v>
      </c>
    </row>
    <row r="102" spans="1:14" x14ac:dyDescent="0.25">
      <c r="A102" t="s">
        <v>1686</v>
      </c>
      <c r="B102" s="6">
        <v>46086</v>
      </c>
      <c r="C102" t="s">
        <v>1916</v>
      </c>
      <c r="D102" s="18">
        <v>9873.73</v>
      </c>
      <c r="J102" t="s">
        <v>1917</v>
      </c>
      <c r="K102" s="6">
        <v>46104</v>
      </c>
      <c r="L102" t="s">
        <v>1785</v>
      </c>
      <c r="M102" t="s">
        <v>1635</v>
      </c>
      <c r="N102" s="18">
        <v>6418.14</v>
      </c>
    </row>
    <row r="103" spans="1:14" x14ac:dyDescent="0.25">
      <c r="A103" t="s">
        <v>1716</v>
      </c>
      <c r="B103" s="6">
        <v>46088</v>
      </c>
      <c r="C103" t="s">
        <v>1918</v>
      </c>
      <c r="D103" s="18">
        <v>36699.74</v>
      </c>
      <c r="J103" t="s">
        <v>1919</v>
      </c>
      <c r="K103" s="6">
        <v>46104</v>
      </c>
      <c r="L103" t="s">
        <v>1827</v>
      </c>
      <c r="M103" t="s">
        <v>1624</v>
      </c>
      <c r="N103" s="18">
        <v>4479.8599999999997</v>
      </c>
    </row>
    <row r="104" spans="1:14" x14ac:dyDescent="0.25">
      <c r="A104" t="s">
        <v>1752</v>
      </c>
      <c r="B104" s="6">
        <v>46090</v>
      </c>
      <c r="C104" t="s">
        <v>1920</v>
      </c>
      <c r="D104" s="18">
        <v>18301.89</v>
      </c>
      <c r="J104" t="s">
        <v>1921</v>
      </c>
      <c r="K104" s="6">
        <v>46104</v>
      </c>
      <c r="L104" t="s">
        <v>1868</v>
      </c>
      <c r="M104" t="s">
        <v>1630</v>
      </c>
      <c r="N104" s="18">
        <v>45929.53</v>
      </c>
    </row>
    <row r="105" spans="1:14" x14ac:dyDescent="0.25">
      <c r="A105" t="s">
        <v>1780</v>
      </c>
      <c r="B105" s="6">
        <v>46092</v>
      </c>
      <c r="C105" t="s">
        <v>1922</v>
      </c>
      <c r="D105" s="18">
        <v>23266.959999999999</v>
      </c>
      <c r="J105" t="s">
        <v>1923</v>
      </c>
      <c r="K105" s="6">
        <v>46104</v>
      </c>
      <c r="L105" t="s">
        <v>1902</v>
      </c>
      <c r="M105" t="s">
        <v>1635</v>
      </c>
      <c r="N105" s="18">
        <v>6646.34</v>
      </c>
    </row>
    <row r="106" spans="1:14" x14ac:dyDescent="0.25">
      <c r="A106" t="s">
        <v>1814</v>
      </c>
      <c r="B106" s="6">
        <v>46094</v>
      </c>
      <c r="C106" t="s">
        <v>1924</v>
      </c>
      <c r="D106" s="18">
        <v>29548.53</v>
      </c>
      <c r="J106" t="s">
        <v>1925</v>
      </c>
      <c r="K106" s="6">
        <v>46104</v>
      </c>
      <c r="L106" t="s">
        <v>1926</v>
      </c>
      <c r="M106" t="s">
        <v>1624</v>
      </c>
      <c r="N106" s="18">
        <v>24261.89</v>
      </c>
    </row>
    <row r="107" spans="1:14" x14ac:dyDescent="0.25">
      <c r="A107" t="s">
        <v>1840</v>
      </c>
      <c r="B107" s="6">
        <v>46096</v>
      </c>
      <c r="C107" t="s">
        <v>1927</v>
      </c>
      <c r="D107" s="18">
        <v>13030.78</v>
      </c>
      <c r="J107" t="s">
        <v>1928</v>
      </c>
      <c r="K107" s="6">
        <v>46106</v>
      </c>
      <c r="L107" t="s">
        <v>1637</v>
      </c>
      <c r="M107" t="s">
        <v>1578</v>
      </c>
      <c r="N107" s="18">
        <v>24200.78</v>
      </c>
    </row>
    <row r="108" spans="1:14" x14ac:dyDescent="0.25">
      <c r="A108" t="s">
        <v>1863</v>
      </c>
      <c r="B108" s="6">
        <v>46098</v>
      </c>
      <c r="C108" t="s">
        <v>1929</v>
      </c>
      <c r="D108" s="18">
        <v>30735.200000000001</v>
      </c>
      <c r="J108" t="s">
        <v>1930</v>
      </c>
      <c r="K108" s="6">
        <v>46106</v>
      </c>
      <c r="L108" t="s">
        <v>1637</v>
      </c>
      <c r="M108" t="s">
        <v>1578</v>
      </c>
      <c r="N108" s="18">
        <v>24200.78</v>
      </c>
    </row>
    <row r="109" spans="1:14" x14ac:dyDescent="0.25">
      <c r="A109" t="s">
        <v>1888</v>
      </c>
      <c r="B109" s="6">
        <v>46100</v>
      </c>
      <c r="C109" t="s">
        <v>1931</v>
      </c>
      <c r="D109" s="18">
        <v>32317.56</v>
      </c>
      <c r="J109" t="s">
        <v>1932</v>
      </c>
      <c r="K109" s="6">
        <v>46106</v>
      </c>
      <c r="L109" t="s">
        <v>1694</v>
      </c>
      <c r="M109" t="s">
        <v>1584</v>
      </c>
      <c r="N109" s="18">
        <v>16299.47</v>
      </c>
    </row>
    <row r="110" spans="1:14" x14ac:dyDescent="0.25">
      <c r="A110" t="s">
        <v>1908</v>
      </c>
      <c r="B110" s="6">
        <v>46102</v>
      </c>
      <c r="C110" t="s">
        <v>1933</v>
      </c>
      <c r="D110" s="18">
        <v>44245.38</v>
      </c>
      <c r="J110" t="s">
        <v>1934</v>
      </c>
      <c r="K110" s="6">
        <v>46106</v>
      </c>
      <c r="L110" t="s">
        <v>1742</v>
      </c>
      <c r="M110" t="s">
        <v>1590</v>
      </c>
      <c r="N110" s="18">
        <v>41883.97</v>
      </c>
    </row>
    <row r="111" spans="1:14" x14ac:dyDescent="0.25">
      <c r="A111" t="s">
        <v>1926</v>
      </c>
      <c r="B111" s="6">
        <v>46104</v>
      </c>
      <c r="C111" t="s">
        <v>1935</v>
      </c>
      <c r="D111" s="18">
        <v>24261.89</v>
      </c>
      <c r="J111" t="s">
        <v>1936</v>
      </c>
      <c r="K111" s="6">
        <v>46106</v>
      </c>
      <c r="L111" t="s">
        <v>1789</v>
      </c>
      <c r="M111" t="s">
        <v>1578</v>
      </c>
      <c r="N111" s="18">
        <v>25963.48</v>
      </c>
    </row>
    <row r="112" spans="1:14" x14ac:dyDescent="0.25">
      <c r="A112" t="s">
        <v>1937</v>
      </c>
      <c r="B112" s="6">
        <v>46106</v>
      </c>
      <c r="C112" t="s">
        <v>1938</v>
      </c>
      <c r="D112" s="18">
        <v>41089.910000000003</v>
      </c>
      <c r="J112" t="s">
        <v>1939</v>
      </c>
      <c r="K112" s="6">
        <v>46106</v>
      </c>
      <c r="L112" t="s">
        <v>1830</v>
      </c>
      <c r="M112" t="s">
        <v>1584</v>
      </c>
      <c r="N112" s="18">
        <v>39756.120000000003</v>
      </c>
    </row>
    <row r="113" spans="1:14" x14ac:dyDescent="0.25">
      <c r="A113" t="s">
        <v>1940</v>
      </c>
      <c r="B113" s="6">
        <v>46108</v>
      </c>
      <c r="C113" t="s">
        <v>1941</v>
      </c>
      <c r="D113" s="18">
        <v>46460.14</v>
      </c>
      <c r="J113" t="s">
        <v>1942</v>
      </c>
      <c r="K113" s="6">
        <v>46106</v>
      </c>
      <c r="L113" t="s">
        <v>1871</v>
      </c>
      <c r="M113" t="s">
        <v>1590</v>
      </c>
      <c r="N113" s="18">
        <v>30293.88</v>
      </c>
    </row>
    <row r="114" spans="1:14" x14ac:dyDescent="0.25">
      <c r="A114" t="s">
        <v>1619</v>
      </c>
      <c r="B114" s="6">
        <v>46082</v>
      </c>
      <c r="C114" t="s">
        <v>1943</v>
      </c>
      <c r="D114" s="18">
        <v>36964.76</v>
      </c>
      <c r="J114" t="s">
        <v>1944</v>
      </c>
      <c r="K114" s="6">
        <v>46106</v>
      </c>
      <c r="L114" t="s">
        <v>1937</v>
      </c>
      <c r="M114" t="s">
        <v>1584</v>
      </c>
      <c r="N114" s="18">
        <v>41089.910000000003</v>
      </c>
    </row>
    <row r="115" spans="1:14" x14ac:dyDescent="0.25">
      <c r="A115" t="s">
        <v>1657</v>
      </c>
      <c r="B115" s="6">
        <v>46084</v>
      </c>
      <c r="C115" t="s">
        <v>1945</v>
      </c>
      <c r="D115" s="18">
        <v>20361.91</v>
      </c>
      <c r="J115" t="s">
        <v>1946</v>
      </c>
      <c r="K115" s="6">
        <v>46108</v>
      </c>
      <c r="L115" t="s">
        <v>1642</v>
      </c>
      <c r="M115" t="s">
        <v>1624</v>
      </c>
      <c r="N115" s="18">
        <v>20190.79</v>
      </c>
    </row>
    <row r="116" spans="1:14" x14ac:dyDescent="0.25">
      <c r="A116" t="s">
        <v>1690</v>
      </c>
      <c r="B116" s="6">
        <v>46086</v>
      </c>
      <c r="C116" t="s">
        <v>1947</v>
      </c>
      <c r="D116" s="18">
        <v>13237.04</v>
      </c>
      <c r="J116" t="s">
        <v>1948</v>
      </c>
      <c r="K116" s="6">
        <v>46108</v>
      </c>
      <c r="L116" t="s">
        <v>1697</v>
      </c>
      <c r="M116" t="s">
        <v>1630</v>
      </c>
      <c r="N116" s="18">
        <v>7064.47</v>
      </c>
    </row>
    <row r="117" spans="1:14" x14ac:dyDescent="0.25">
      <c r="A117" t="s">
        <v>1720</v>
      </c>
      <c r="B117" s="6">
        <v>46088</v>
      </c>
      <c r="C117" t="s">
        <v>1949</v>
      </c>
      <c r="D117" s="18">
        <v>4916.7</v>
      </c>
      <c r="J117" t="s">
        <v>1950</v>
      </c>
      <c r="K117" s="6">
        <v>46108</v>
      </c>
      <c r="L117" t="s">
        <v>1746</v>
      </c>
      <c r="M117" t="s">
        <v>1635</v>
      </c>
      <c r="N117" s="18">
        <v>27830.98</v>
      </c>
    </row>
    <row r="118" spans="1:14" x14ac:dyDescent="0.25">
      <c r="A118" t="s">
        <v>1755</v>
      </c>
      <c r="B118" s="6">
        <v>46090</v>
      </c>
      <c r="C118" t="s">
        <v>1951</v>
      </c>
      <c r="D118" s="18">
        <v>39931.53</v>
      </c>
      <c r="J118" t="s">
        <v>1952</v>
      </c>
      <c r="K118" s="6">
        <v>46108</v>
      </c>
      <c r="L118" t="s">
        <v>1792</v>
      </c>
      <c r="M118" t="s">
        <v>1624</v>
      </c>
      <c r="N118" s="18">
        <v>3791.5</v>
      </c>
    </row>
    <row r="119" spans="1:14" x14ac:dyDescent="0.25">
      <c r="A119" t="s">
        <v>1784</v>
      </c>
      <c r="B119" s="6">
        <v>46092</v>
      </c>
      <c r="C119" t="s">
        <v>1953</v>
      </c>
      <c r="D119" s="18">
        <v>6438.4</v>
      </c>
      <c r="J119" t="s">
        <v>1954</v>
      </c>
      <c r="K119" s="6">
        <v>46108</v>
      </c>
      <c r="L119" t="s">
        <v>1834</v>
      </c>
      <c r="M119" t="s">
        <v>1630</v>
      </c>
      <c r="N119" s="18">
        <v>10221.879999999999</v>
      </c>
    </row>
    <row r="120" spans="1:14" x14ac:dyDescent="0.25">
      <c r="A120" t="s">
        <v>1811</v>
      </c>
      <c r="B120" s="6">
        <v>46094</v>
      </c>
      <c r="C120" t="s">
        <v>1955</v>
      </c>
      <c r="D120" s="18">
        <v>26966.74</v>
      </c>
      <c r="J120" t="s">
        <v>1956</v>
      </c>
      <c r="K120" s="6">
        <v>46108</v>
      </c>
      <c r="L120" t="s">
        <v>1874</v>
      </c>
      <c r="M120" t="s">
        <v>1635</v>
      </c>
      <c r="N120" s="18">
        <v>5182.1899999999996</v>
      </c>
    </row>
    <row r="121" spans="1:14" x14ac:dyDescent="0.25">
      <c r="A121" t="s">
        <v>1843</v>
      </c>
      <c r="B121" s="6">
        <v>46096</v>
      </c>
      <c r="C121" t="s">
        <v>1957</v>
      </c>
      <c r="D121" s="18">
        <v>21925.19</v>
      </c>
      <c r="J121" t="s">
        <v>1958</v>
      </c>
      <c r="K121" s="6">
        <v>46108</v>
      </c>
      <c r="L121" t="s">
        <v>1909</v>
      </c>
      <c r="M121" t="s">
        <v>1624</v>
      </c>
      <c r="N121" s="18">
        <v>12407.34</v>
      </c>
    </row>
    <row r="122" spans="1:14" x14ac:dyDescent="0.25">
      <c r="J122" t="s">
        <v>1959</v>
      </c>
      <c r="K122" s="6">
        <v>46108</v>
      </c>
      <c r="L122" t="s">
        <v>1940</v>
      </c>
      <c r="M122" t="s">
        <v>1630</v>
      </c>
      <c r="N122" s="18">
        <v>46460.14</v>
      </c>
    </row>
  </sheetData>
  <pageMargins left="0.75" right="0.75" top="1" bottom="1" header="0.5" footer="0.5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81"/>
  <sheetViews>
    <sheetView showGridLines="0" workbookViewId="0"/>
  </sheetViews>
  <sheetFormatPr defaultRowHeight="15" x14ac:dyDescent="0.25"/>
  <cols>
    <col min="1" max="1" width="104" customWidth="1"/>
  </cols>
  <sheetData>
    <row r="1" spans="1:1" ht="18.75" x14ac:dyDescent="0.25">
      <c r="A1" s="1" t="s">
        <v>1960</v>
      </c>
    </row>
    <row r="2" spans="1:1" x14ac:dyDescent="0.25">
      <c r="A2" s="2"/>
    </row>
    <row r="3" spans="1:1" x14ac:dyDescent="0.25">
      <c r="A3" s="4" t="s">
        <v>1961</v>
      </c>
    </row>
    <row r="4" spans="1:1" x14ac:dyDescent="0.25">
      <c r="A4" s="4" t="s">
        <v>1962</v>
      </c>
    </row>
    <row r="5" spans="1:1" x14ac:dyDescent="0.25">
      <c r="A5" s="2"/>
    </row>
    <row r="6" spans="1:1" x14ac:dyDescent="0.25">
      <c r="A6" s="3" t="s">
        <v>1963</v>
      </c>
    </row>
    <row r="7" spans="1:1" x14ac:dyDescent="0.25">
      <c r="A7" s="2" t="s">
        <v>1964</v>
      </c>
    </row>
    <row r="8" spans="1:1" x14ac:dyDescent="0.25">
      <c r="A8" s="2" t="s">
        <v>1965</v>
      </c>
    </row>
    <row r="9" spans="1:1" x14ac:dyDescent="0.25">
      <c r="A9" s="2" t="s">
        <v>1966</v>
      </c>
    </row>
    <row r="10" spans="1:1" x14ac:dyDescent="0.25">
      <c r="A10" s="2"/>
    </row>
    <row r="11" spans="1:1" x14ac:dyDescent="0.25">
      <c r="A11" s="3" t="s">
        <v>1967</v>
      </c>
    </row>
    <row r="12" spans="1:1" x14ac:dyDescent="0.25">
      <c r="A12" s="2" t="s">
        <v>1968</v>
      </c>
    </row>
    <row r="13" spans="1:1" x14ac:dyDescent="0.25">
      <c r="A13" s="2" t="s">
        <v>1969</v>
      </c>
    </row>
    <row r="14" spans="1:1" x14ac:dyDescent="0.25">
      <c r="A14" s="2" t="s">
        <v>1970</v>
      </c>
    </row>
    <row r="15" spans="1:1" x14ac:dyDescent="0.25">
      <c r="A15" s="2" t="s">
        <v>1971</v>
      </c>
    </row>
    <row r="16" spans="1:1" x14ac:dyDescent="0.25">
      <c r="A16" s="2" t="s">
        <v>1972</v>
      </c>
    </row>
    <row r="17" spans="1:1" x14ac:dyDescent="0.25">
      <c r="A17" s="2" t="s">
        <v>1973</v>
      </c>
    </row>
    <row r="18" spans="1:1" x14ac:dyDescent="0.25">
      <c r="A18" s="2" t="s">
        <v>1974</v>
      </c>
    </row>
    <row r="19" spans="1:1" x14ac:dyDescent="0.25">
      <c r="A19" s="2" t="s">
        <v>1975</v>
      </c>
    </row>
    <row r="20" spans="1:1" x14ac:dyDescent="0.25">
      <c r="A20" s="2" t="s">
        <v>1976</v>
      </c>
    </row>
    <row r="21" spans="1:1" x14ac:dyDescent="0.25">
      <c r="A21" s="2"/>
    </row>
    <row r="22" spans="1:1" x14ac:dyDescent="0.25">
      <c r="A22" s="3" t="s">
        <v>1977</v>
      </c>
    </row>
    <row r="23" spans="1:1" x14ac:dyDescent="0.25">
      <c r="A23" s="2" t="s">
        <v>1978</v>
      </c>
    </row>
    <row r="24" spans="1:1" x14ac:dyDescent="0.25">
      <c r="A24" s="2" t="s">
        <v>1979</v>
      </c>
    </row>
    <row r="25" spans="1:1" x14ac:dyDescent="0.25">
      <c r="A25" s="2" t="s">
        <v>1980</v>
      </c>
    </row>
    <row r="26" spans="1:1" x14ac:dyDescent="0.25">
      <c r="A26" s="2"/>
    </row>
    <row r="27" spans="1:1" x14ac:dyDescent="0.25">
      <c r="A27" s="3" t="s">
        <v>1981</v>
      </c>
    </row>
    <row r="28" spans="1:1" x14ac:dyDescent="0.25">
      <c r="A28" s="2" t="s">
        <v>1982</v>
      </c>
    </row>
    <row r="29" spans="1:1" x14ac:dyDescent="0.25">
      <c r="A29" s="2" t="s">
        <v>1983</v>
      </c>
    </row>
    <row r="30" spans="1:1" x14ac:dyDescent="0.25">
      <c r="A30" s="2" t="s">
        <v>1984</v>
      </c>
    </row>
    <row r="31" spans="1:1" x14ac:dyDescent="0.25">
      <c r="A31" s="2" t="s">
        <v>1985</v>
      </c>
    </row>
    <row r="32" spans="1:1" x14ac:dyDescent="0.25">
      <c r="A32" s="2" t="s">
        <v>1986</v>
      </c>
    </row>
    <row r="33" spans="1:1" x14ac:dyDescent="0.25">
      <c r="A33" s="2" t="s">
        <v>1987</v>
      </c>
    </row>
    <row r="34" spans="1:1" x14ac:dyDescent="0.25">
      <c r="A34" s="2" t="s">
        <v>1988</v>
      </c>
    </row>
    <row r="35" spans="1:1" x14ac:dyDescent="0.25">
      <c r="A35" s="2" t="s">
        <v>1989</v>
      </c>
    </row>
    <row r="36" spans="1:1" x14ac:dyDescent="0.25">
      <c r="A36" s="2" t="s">
        <v>1990</v>
      </c>
    </row>
    <row r="37" spans="1:1" x14ac:dyDescent="0.25">
      <c r="A37" s="2" t="s">
        <v>1991</v>
      </c>
    </row>
    <row r="38" spans="1:1" x14ac:dyDescent="0.25">
      <c r="A38" s="2" t="s">
        <v>1992</v>
      </c>
    </row>
    <row r="39" spans="1:1" x14ac:dyDescent="0.25">
      <c r="A39" s="2" t="s">
        <v>1993</v>
      </c>
    </row>
    <row r="40" spans="1:1" x14ac:dyDescent="0.25">
      <c r="A40" s="2" t="s">
        <v>1994</v>
      </c>
    </row>
    <row r="41" spans="1:1" x14ac:dyDescent="0.25">
      <c r="A41" s="2"/>
    </row>
    <row r="42" spans="1:1" x14ac:dyDescent="0.25">
      <c r="A42" s="3" t="s">
        <v>1995</v>
      </c>
    </row>
    <row r="43" spans="1:1" x14ac:dyDescent="0.25">
      <c r="A43" s="2" t="s">
        <v>1996</v>
      </c>
    </row>
    <row r="44" spans="1:1" x14ac:dyDescent="0.25">
      <c r="A44" s="2" t="s">
        <v>1997</v>
      </c>
    </row>
    <row r="45" spans="1:1" x14ac:dyDescent="0.25">
      <c r="A45" s="2" t="s">
        <v>1998</v>
      </c>
    </row>
    <row r="46" spans="1:1" x14ac:dyDescent="0.25">
      <c r="A46" s="2" t="s">
        <v>1999</v>
      </c>
    </row>
    <row r="47" spans="1:1" x14ac:dyDescent="0.25">
      <c r="A47" s="2" t="s">
        <v>2000</v>
      </c>
    </row>
    <row r="48" spans="1:1" x14ac:dyDescent="0.25">
      <c r="A48" s="2" t="s">
        <v>2001</v>
      </c>
    </row>
    <row r="49" spans="1:1" x14ac:dyDescent="0.25">
      <c r="A49" s="2" t="s">
        <v>2002</v>
      </c>
    </row>
    <row r="50" spans="1:1" x14ac:dyDescent="0.25">
      <c r="A50" s="2" t="s">
        <v>2003</v>
      </c>
    </row>
    <row r="51" spans="1:1" x14ac:dyDescent="0.25">
      <c r="A51" s="2"/>
    </row>
    <row r="52" spans="1:1" x14ac:dyDescent="0.25">
      <c r="A52" s="3" t="s">
        <v>2004</v>
      </c>
    </row>
    <row r="53" spans="1:1" x14ac:dyDescent="0.25">
      <c r="A53" s="2" t="s">
        <v>2005</v>
      </c>
    </row>
    <row r="54" spans="1:1" x14ac:dyDescent="0.25">
      <c r="A54" s="2" t="s">
        <v>2006</v>
      </c>
    </row>
    <row r="55" spans="1:1" x14ac:dyDescent="0.25">
      <c r="A55" s="2" t="s">
        <v>2007</v>
      </c>
    </row>
    <row r="56" spans="1:1" x14ac:dyDescent="0.25">
      <c r="A56" s="2" t="s">
        <v>2008</v>
      </c>
    </row>
    <row r="57" spans="1:1" x14ac:dyDescent="0.25">
      <c r="A57" s="2" t="s">
        <v>2009</v>
      </c>
    </row>
    <row r="58" spans="1:1" x14ac:dyDescent="0.25">
      <c r="A58" s="2"/>
    </row>
    <row r="59" spans="1:1" x14ac:dyDescent="0.25">
      <c r="A59" s="3" t="s">
        <v>2010</v>
      </c>
    </row>
    <row r="60" spans="1:1" x14ac:dyDescent="0.25">
      <c r="A60" s="2" t="s">
        <v>2011</v>
      </c>
    </row>
    <row r="61" spans="1:1" x14ac:dyDescent="0.25">
      <c r="A61" s="2" t="s">
        <v>2012</v>
      </c>
    </row>
    <row r="62" spans="1:1" x14ac:dyDescent="0.25">
      <c r="A62" s="2" t="s">
        <v>2013</v>
      </c>
    </row>
    <row r="63" spans="1:1" x14ac:dyDescent="0.25">
      <c r="A63" s="2" t="s">
        <v>2014</v>
      </c>
    </row>
    <row r="64" spans="1:1" x14ac:dyDescent="0.25">
      <c r="A64" s="2" t="s">
        <v>2015</v>
      </c>
    </row>
    <row r="65" spans="1:1" x14ac:dyDescent="0.25">
      <c r="A65" s="2" t="s">
        <v>2016</v>
      </c>
    </row>
    <row r="66" spans="1:1" x14ac:dyDescent="0.25">
      <c r="A66" s="2" t="s">
        <v>2017</v>
      </c>
    </row>
    <row r="67" spans="1:1" x14ac:dyDescent="0.25">
      <c r="A67" s="2" t="s">
        <v>2018</v>
      </c>
    </row>
    <row r="68" spans="1:1" x14ac:dyDescent="0.25">
      <c r="A68" s="2"/>
    </row>
    <row r="69" spans="1:1" x14ac:dyDescent="0.25">
      <c r="A69" s="3" t="s">
        <v>2019</v>
      </c>
    </row>
    <row r="70" spans="1:1" x14ac:dyDescent="0.25">
      <c r="A70" s="2" t="s">
        <v>2020</v>
      </c>
    </row>
    <row r="71" spans="1:1" x14ac:dyDescent="0.25">
      <c r="A71" s="2" t="s">
        <v>2021</v>
      </c>
    </row>
    <row r="72" spans="1:1" x14ac:dyDescent="0.25">
      <c r="A72" s="2" t="s">
        <v>2022</v>
      </c>
    </row>
    <row r="73" spans="1:1" x14ac:dyDescent="0.25">
      <c r="A73" s="2" t="s">
        <v>2023</v>
      </c>
    </row>
    <row r="74" spans="1:1" x14ac:dyDescent="0.25">
      <c r="A74" s="2"/>
    </row>
    <row r="75" spans="1:1" x14ac:dyDescent="0.25">
      <c r="A75" s="3" t="s">
        <v>2024</v>
      </c>
    </row>
    <row r="76" spans="1:1" x14ac:dyDescent="0.25">
      <c r="A76" s="2" t="s">
        <v>2025</v>
      </c>
    </row>
    <row r="77" spans="1:1" x14ac:dyDescent="0.25">
      <c r="A77" s="2" t="s">
        <v>2026</v>
      </c>
    </row>
    <row r="78" spans="1:1" x14ac:dyDescent="0.25">
      <c r="A78" s="2" t="s">
        <v>2027</v>
      </c>
    </row>
    <row r="79" spans="1:1" x14ac:dyDescent="0.25">
      <c r="A79" s="2" t="s">
        <v>2028</v>
      </c>
    </row>
    <row r="80" spans="1:1" x14ac:dyDescent="0.25">
      <c r="A80" s="2"/>
    </row>
    <row r="81" spans="1:1" x14ac:dyDescent="0.25">
      <c r="A81" s="4" t="s">
        <v>2029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8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4" customWidth="1"/>
    <col min="3" max="3" width="20" customWidth="1"/>
    <col min="4" max="4" width="26" customWidth="1"/>
    <col min="5" max="5" width="14" customWidth="1"/>
    <col min="6" max="6" width="2" customWidth="1"/>
    <col min="7" max="7" width="16" customWidth="1"/>
    <col min="8" max="8" width="13" customWidth="1"/>
    <col min="9" max="9" width="20" customWidth="1"/>
    <col min="10" max="10" width="24" customWidth="1"/>
    <col min="11" max="11" width="14" customWidth="1"/>
    <col min="12" max="12" width="16" customWidth="1"/>
    <col min="13" max="13" width="2" customWidth="1"/>
    <col min="14" max="14" width="20" customWidth="1"/>
    <col min="15" max="15" width="12" customWidth="1"/>
    <col min="16" max="16" width="40" customWidth="1"/>
    <col min="17" max="17" width="13" customWidth="1"/>
    <col min="18" max="18" width="17" customWidth="1"/>
    <col min="19" max="19" width="13" customWidth="1"/>
    <col min="20" max="20" width="15" customWidth="1"/>
    <col min="21" max="21" width="2" customWidth="1"/>
    <col min="23" max="23" width="90" customWidth="1"/>
  </cols>
  <sheetData>
    <row r="1" spans="1:23" ht="18.75" x14ac:dyDescent="0.25">
      <c r="A1" s="16" t="s">
        <v>1563</v>
      </c>
      <c r="B1" s="16" t="s">
        <v>1564</v>
      </c>
      <c r="C1" s="16" t="s">
        <v>1565</v>
      </c>
      <c r="D1" s="16" t="s">
        <v>1566</v>
      </c>
      <c r="E1" s="16" t="s">
        <v>233</v>
      </c>
      <c r="N1" s="16" t="s">
        <v>1560</v>
      </c>
      <c r="O1" s="16" t="s">
        <v>1561</v>
      </c>
      <c r="P1" s="16" t="s">
        <v>1562</v>
      </c>
      <c r="Q1" s="16" t="s">
        <v>233</v>
      </c>
      <c r="W1" s="1" t="s">
        <v>2030</v>
      </c>
    </row>
    <row r="2" spans="1:23" x14ac:dyDescent="0.25">
      <c r="A2" s="17" t="s">
        <v>2031</v>
      </c>
      <c r="B2" s="17" t="s">
        <v>2032</v>
      </c>
      <c r="C2" s="17" t="s">
        <v>2033</v>
      </c>
      <c r="D2" s="17" t="s">
        <v>2034</v>
      </c>
      <c r="E2" s="17" t="s">
        <v>2035</v>
      </c>
      <c r="N2" t="s">
        <v>2036</v>
      </c>
      <c r="O2" s="6">
        <v>46113</v>
      </c>
      <c r="P2" t="s">
        <v>1576</v>
      </c>
      <c r="Q2" s="18">
        <v>25971</v>
      </c>
      <c r="W2" s="4" t="s">
        <v>2037</v>
      </c>
    </row>
    <row r="3" spans="1:23" x14ac:dyDescent="0.25">
      <c r="A3" s="17" t="s">
        <v>2038</v>
      </c>
      <c r="B3" s="17" t="s">
        <v>2039</v>
      </c>
      <c r="C3" s="17" t="s">
        <v>2040</v>
      </c>
      <c r="D3" s="17" t="s">
        <v>1584</v>
      </c>
      <c r="E3" s="17" t="s">
        <v>2041</v>
      </c>
      <c r="N3" t="s">
        <v>2042</v>
      </c>
      <c r="O3" s="6">
        <v>46115</v>
      </c>
      <c r="P3" t="s">
        <v>1581</v>
      </c>
      <c r="Q3" s="18">
        <v>44389.84</v>
      </c>
      <c r="W3" s="4" t="s">
        <v>2043</v>
      </c>
    </row>
    <row r="4" spans="1:23" x14ac:dyDescent="0.25">
      <c r="A4" s="17" t="s">
        <v>2044</v>
      </c>
      <c r="B4" s="17" t="s">
        <v>2045</v>
      </c>
      <c r="C4" s="17" t="s">
        <v>2046</v>
      </c>
      <c r="D4" s="17" t="s">
        <v>1590</v>
      </c>
      <c r="E4" s="17" t="s">
        <v>2047</v>
      </c>
      <c r="N4" t="s">
        <v>2048</v>
      </c>
      <c r="O4" s="6">
        <v>46117</v>
      </c>
      <c r="P4" t="s">
        <v>1587</v>
      </c>
      <c r="Q4" s="18">
        <v>43605.760000000002</v>
      </c>
      <c r="W4" s="4" t="s">
        <v>2049</v>
      </c>
    </row>
    <row r="5" spans="1:23" x14ac:dyDescent="0.25">
      <c r="A5" s="17" t="s">
        <v>2050</v>
      </c>
      <c r="B5" s="17" t="s">
        <v>2032</v>
      </c>
      <c r="C5" s="17" t="s">
        <v>2051</v>
      </c>
      <c r="D5" s="17" t="s">
        <v>1578</v>
      </c>
      <c r="E5" s="17" t="s">
        <v>2052</v>
      </c>
      <c r="N5" t="s">
        <v>2053</v>
      </c>
      <c r="O5" s="6">
        <v>46119</v>
      </c>
      <c r="P5" t="s">
        <v>1593</v>
      </c>
      <c r="Q5" s="18">
        <v>4739.82</v>
      </c>
      <c r="W5" s="2"/>
    </row>
    <row r="6" spans="1:23" x14ac:dyDescent="0.25">
      <c r="A6" s="17" t="s">
        <v>2054</v>
      </c>
      <c r="B6" s="17" t="s">
        <v>2039</v>
      </c>
      <c r="C6" s="17" t="s">
        <v>2055</v>
      </c>
      <c r="D6" s="17" t="s">
        <v>1584</v>
      </c>
      <c r="E6" s="17" t="s">
        <v>2056</v>
      </c>
      <c r="N6" t="s">
        <v>2057</v>
      </c>
      <c r="O6" s="6">
        <v>46121</v>
      </c>
      <c r="P6" t="s">
        <v>1598</v>
      </c>
      <c r="Q6" s="18">
        <v>32630.080000000002</v>
      </c>
      <c r="W6" s="3" t="s">
        <v>2058</v>
      </c>
    </row>
    <row r="7" spans="1:23" x14ac:dyDescent="0.25">
      <c r="A7" s="17" t="s">
        <v>2059</v>
      </c>
      <c r="B7" s="17" t="s">
        <v>2045</v>
      </c>
      <c r="C7" s="17" t="s">
        <v>2060</v>
      </c>
      <c r="D7" s="17" t="s">
        <v>2061</v>
      </c>
      <c r="E7" s="17" t="s">
        <v>2062</v>
      </c>
      <c r="N7" t="s">
        <v>2063</v>
      </c>
      <c r="O7" s="6">
        <v>46123</v>
      </c>
      <c r="P7" t="s">
        <v>1602</v>
      </c>
      <c r="Q7" s="18">
        <v>2286.9299999999998</v>
      </c>
      <c r="W7" s="2" t="s">
        <v>2064</v>
      </c>
    </row>
    <row r="8" spans="1:23" x14ac:dyDescent="0.25">
      <c r="A8" s="17" t="s">
        <v>2065</v>
      </c>
      <c r="B8" s="17" t="s">
        <v>2066</v>
      </c>
      <c r="C8" s="17" t="s">
        <v>2042</v>
      </c>
      <c r="D8" s="17" t="s">
        <v>1624</v>
      </c>
      <c r="E8" s="17" t="s">
        <v>2067</v>
      </c>
      <c r="N8" t="s">
        <v>2068</v>
      </c>
      <c r="O8" s="6">
        <v>46125</v>
      </c>
      <c r="P8" t="s">
        <v>1607</v>
      </c>
      <c r="Q8" s="18">
        <v>20432.330000000002</v>
      </c>
      <c r="W8" s="2" t="s">
        <v>2069</v>
      </c>
    </row>
    <row r="9" spans="1:23" x14ac:dyDescent="0.25">
      <c r="A9" s="17" t="s">
        <v>2070</v>
      </c>
      <c r="B9" s="17" t="s">
        <v>2071</v>
      </c>
      <c r="C9" s="17" t="s">
        <v>2072</v>
      </c>
      <c r="D9" s="17" t="s">
        <v>1630</v>
      </c>
      <c r="E9" s="17" t="s">
        <v>2073</v>
      </c>
      <c r="N9" t="s">
        <v>2074</v>
      </c>
      <c r="O9" s="6">
        <v>46127</v>
      </c>
      <c r="P9" t="s">
        <v>1612</v>
      </c>
      <c r="Q9" s="18">
        <v>21344.75</v>
      </c>
      <c r="W9" s="2" t="s">
        <v>2075</v>
      </c>
    </row>
    <row r="10" spans="1:23" x14ac:dyDescent="0.25">
      <c r="A10" s="17" t="s">
        <v>2076</v>
      </c>
      <c r="B10" s="17" t="s">
        <v>2077</v>
      </c>
      <c r="C10" s="17" t="s">
        <v>2078</v>
      </c>
      <c r="D10" s="17" t="s">
        <v>1635</v>
      </c>
      <c r="E10" s="17" t="s">
        <v>2079</v>
      </c>
      <c r="N10" t="s">
        <v>2080</v>
      </c>
      <c r="O10" s="6">
        <v>46129</v>
      </c>
      <c r="P10" t="s">
        <v>1617</v>
      </c>
      <c r="Q10" s="18">
        <v>45940.67</v>
      </c>
      <c r="W10" s="2"/>
    </row>
    <row r="11" spans="1:23" x14ac:dyDescent="0.25">
      <c r="A11" s="17" t="s">
        <v>2081</v>
      </c>
      <c r="B11" s="17" t="s">
        <v>2066</v>
      </c>
      <c r="C11" s="17" t="s">
        <v>2082</v>
      </c>
      <c r="D11" s="17" t="s">
        <v>1624</v>
      </c>
      <c r="E11" s="17" t="s">
        <v>2083</v>
      </c>
      <c r="N11" t="s">
        <v>2084</v>
      </c>
      <c r="O11" s="6">
        <v>46131</v>
      </c>
      <c r="P11" t="s">
        <v>1622</v>
      </c>
      <c r="Q11" s="18">
        <v>28676.41</v>
      </c>
      <c r="W11" s="4" t="s">
        <v>2085</v>
      </c>
    </row>
    <row r="12" spans="1:23" x14ac:dyDescent="0.25">
      <c r="A12" s="17" t="s">
        <v>2086</v>
      </c>
      <c r="B12" s="17" t="s">
        <v>2071</v>
      </c>
      <c r="C12" s="17" t="s">
        <v>2087</v>
      </c>
      <c r="D12" s="17" t="s">
        <v>2088</v>
      </c>
      <c r="E12" s="17" t="s">
        <v>2089</v>
      </c>
      <c r="N12" t="s">
        <v>2090</v>
      </c>
      <c r="O12" s="6">
        <v>46133</v>
      </c>
      <c r="P12" t="s">
        <v>1627</v>
      </c>
      <c r="Q12" s="18">
        <v>9322.5300000000007</v>
      </c>
    </row>
    <row r="13" spans="1:23" x14ac:dyDescent="0.25">
      <c r="A13" s="17" t="s">
        <v>2091</v>
      </c>
      <c r="B13" s="17" t="s">
        <v>2077</v>
      </c>
      <c r="C13" s="17" t="s">
        <v>2092</v>
      </c>
      <c r="D13" s="17" t="s">
        <v>1635</v>
      </c>
      <c r="E13" s="17" t="s">
        <v>2093</v>
      </c>
      <c r="N13" t="s">
        <v>2094</v>
      </c>
      <c r="O13" s="6">
        <v>46135</v>
      </c>
      <c r="P13" t="s">
        <v>1632</v>
      </c>
      <c r="Q13" s="18">
        <v>24590.43</v>
      </c>
    </row>
    <row r="14" spans="1:23" x14ac:dyDescent="0.25">
      <c r="A14" s="17" t="s">
        <v>2095</v>
      </c>
      <c r="B14" s="17" t="s">
        <v>2096</v>
      </c>
      <c r="C14" s="17" t="s">
        <v>2097</v>
      </c>
      <c r="D14" s="17" t="s">
        <v>1584</v>
      </c>
      <c r="E14" s="17" t="s">
        <v>2098</v>
      </c>
      <c r="N14" t="s">
        <v>2099</v>
      </c>
      <c r="O14" s="6">
        <v>46137</v>
      </c>
      <c r="P14" t="s">
        <v>1638</v>
      </c>
      <c r="Q14" s="18">
        <v>25167.33</v>
      </c>
    </row>
    <row r="15" spans="1:23" x14ac:dyDescent="0.25">
      <c r="A15" s="17" t="s">
        <v>2100</v>
      </c>
      <c r="B15" s="17" t="s">
        <v>2101</v>
      </c>
      <c r="C15" s="17" t="s">
        <v>2102</v>
      </c>
      <c r="D15" s="17" t="s">
        <v>1590</v>
      </c>
      <c r="E15" s="17" t="s">
        <v>2103</v>
      </c>
      <c r="N15" t="s">
        <v>2104</v>
      </c>
      <c r="O15" s="6">
        <v>46139</v>
      </c>
      <c r="P15" t="s">
        <v>1643</v>
      </c>
      <c r="Q15" s="18">
        <v>9660.31</v>
      </c>
    </row>
    <row r="16" spans="1:23" x14ac:dyDescent="0.25">
      <c r="A16" s="17" t="s">
        <v>2105</v>
      </c>
      <c r="B16" s="17" t="s">
        <v>2106</v>
      </c>
      <c r="C16" s="17" t="s">
        <v>2107</v>
      </c>
      <c r="D16" s="17" t="s">
        <v>1578</v>
      </c>
      <c r="E16" s="17" t="s">
        <v>2108</v>
      </c>
      <c r="N16" t="s">
        <v>2040</v>
      </c>
      <c r="O16" s="6">
        <v>46113</v>
      </c>
      <c r="P16" t="s">
        <v>1647</v>
      </c>
      <c r="Q16" s="18">
        <v>17427.169999999998</v>
      </c>
    </row>
    <row r="17" spans="1:17" x14ac:dyDescent="0.25">
      <c r="A17" s="17" t="s">
        <v>2109</v>
      </c>
      <c r="B17" s="17" t="s">
        <v>2096</v>
      </c>
      <c r="C17" s="17" t="s">
        <v>2110</v>
      </c>
      <c r="D17" s="17" t="s">
        <v>2111</v>
      </c>
      <c r="E17" s="17" t="s">
        <v>2112</v>
      </c>
      <c r="N17" t="s">
        <v>2072</v>
      </c>
      <c r="O17" s="6">
        <v>46115</v>
      </c>
      <c r="P17" t="s">
        <v>1650</v>
      </c>
      <c r="Q17" s="18">
        <v>42150.37</v>
      </c>
    </row>
    <row r="18" spans="1:17" x14ac:dyDescent="0.25">
      <c r="A18" s="17" t="s">
        <v>2113</v>
      </c>
      <c r="B18" s="17" t="s">
        <v>2101</v>
      </c>
      <c r="C18" s="17" t="s">
        <v>2114</v>
      </c>
      <c r="D18" s="17" t="s">
        <v>1590</v>
      </c>
      <c r="E18" s="17" t="s">
        <v>2115</v>
      </c>
      <c r="N18" t="s">
        <v>2102</v>
      </c>
      <c r="O18" s="6">
        <v>46117</v>
      </c>
      <c r="P18" t="s">
        <v>1655</v>
      </c>
      <c r="Q18" s="18">
        <v>47115.24</v>
      </c>
    </row>
    <row r="19" spans="1:17" x14ac:dyDescent="0.25">
      <c r="A19" s="17" t="s">
        <v>2116</v>
      </c>
      <c r="B19" s="17" t="s">
        <v>2106</v>
      </c>
      <c r="C19" s="17" t="s">
        <v>2117</v>
      </c>
      <c r="D19" s="17" t="s">
        <v>1578</v>
      </c>
      <c r="E19" s="17" t="s">
        <v>2118</v>
      </c>
      <c r="N19" t="s">
        <v>2119</v>
      </c>
      <c r="O19" s="6">
        <v>46119</v>
      </c>
      <c r="P19" t="s">
        <v>1660</v>
      </c>
      <c r="Q19" s="18">
        <v>37345.370000000003</v>
      </c>
    </row>
    <row r="20" spans="1:17" x14ac:dyDescent="0.25">
      <c r="A20" s="17" t="s">
        <v>2120</v>
      </c>
      <c r="B20" s="17" t="s">
        <v>2121</v>
      </c>
      <c r="C20" s="17" t="s">
        <v>2053</v>
      </c>
      <c r="D20" s="17" t="s">
        <v>1630</v>
      </c>
      <c r="E20" s="17" t="s">
        <v>2122</v>
      </c>
      <c r="N20" t="s">
        <v>2123</v>
      </c>
      <c r="O20" s="6">
        <v>46121</v>
      </c>
      <c r="P20" t="s">
        <v>1664</v>
      </c>
      <c r="Q20" s="18">
        <v>3329.95</v>
      </c>
    </row>
    <row r="21" spans="1:17" x14ac:dyDescent="0.25">
      <c r="A21" s="17" t="s">
        <v>2124</v>
      </c>
      <c r="B21" s="17" t="s">
        <v>2125</v>
      </c>
      <c r="C21" s="17" t="s">
        <v>2119</v>
      </c>
      <c r="D21" s="17" t="s">
        <v>1635</v>
      </c>
      <c r="E21" s="17" t="s">
        <v>2126</v>
      </c>
      <c r="N21" t="s">
        <v>2127</v>
      </c>
      <c r="O21" s="6">
        <v>46123</v>
      </c>
      <c r="P21" t="s">
        <v>1668</v>
      </c>
      <c r="Q21" s="18">
        <v>43505.61</v>
      </c>
    </row>
    <row r="22" spans="1:17" x14ac:dyDescent="0.25">
      <c r="A22" s="17" t="s">
        <v>2128</v>
      </c>
      <c r="B22" s="17" t="s">
        <v>2129</v>
      </c>
      <c r="C22" s="17" t="s">
        <v>2130</v>
      </c>
      <c r="D22" s="17" t="s">
        <v>2131</v>
      </c>
      <c r="E22" s="17" t="s">
        <v>2132</v>
      </c>
      <c r="N22" t="s">
        <v>2133</v>
      </c>
      <c r="O22" s="6">
        <v>46125</v>
      </c>
      <c r="P22" t="s">
        <v>1672</v>
      </c>
      <c r="Q22" s="18">
        <v>22141.439999999999</v>
      </c>
    </row>
    <row r="23" spans="1:17" x14ac:dyDescent="0.25">
      <c r="A23" s="17" t="s">
        <v>2134</v>
      </c>
      <c r="B23" s="17" t="s">
        <v>2121</v>
      </c>
      <c r="C23" s="17" t="s">
        <v>2135</v>
      </c>
      <c r="D23" s="17" t="s">
        <v>1630</v>
      </c>
      <c r="E23" s="17" t="s">
        <v>2136</v>
      </c>
      <c r="N23" t="s">
        <v>2137</v>
      </c>
      <c r="O23" s="6">
        <v>46127</v>
      </c>
      <c r="P23" t="s">
        <v>1676</v>
      </c>
      <c r="Q23" s="18">
        <v>40076.18</v>
      </c>
    </row>
    <row r="24" spans="1:17" x14ac:dyDescent="0.25">
      <c r="A24" s="17" t="s">
        <v>2138</v>
      </c>
      <c r="B24" s="17" t="s">
        <v>2125</v>
      </c>
      <c r="C24" s="17" t="s">
        <v>2139</v>
      </c>
      <c r="D24" s="17" t="s">
        <v>1635</v>
      </c>
      <c r="E24" s="17" t="s">
        <v>2140</v>
      </c>
      <c r="N24" t="s">
        <v>2141</v>
      </c>
      <c r="O24" s="6">
        <v>46129</v>
      </c>
      <c r="P24" t="s">
        <v>1680</v>
      </c>
      <c r="Q24" s="18">
        <v>8691.24</v>
      </c>
    </row>
    <row r="25" spans="1:17" x14ac:dyDescent="0.25">
      <c r="A25" s="17" t="s">
        <v>2142</v>
      </c>
      <c r="B25" s="17" t="s">
        <v>2129</v>
      </c>
      <c r="C25" s="17" t="s">
        <v>2143</v>
      </c>
      <c r="D25" s="17" t="s">
        <v>1624</v>
      </c>
      <c r="E25" s="17" t="s">
        <v>2144</v>
      </c>
      <c r="N25" t="s">
        <v>2145</v>
      </c>
      <c r="O25" s="6">
        <v>46131</v>
      </c>
      <c r="P25" t="s">
        <v>1684</v>
      </c>
      <c r="Q25" s="18">
        <v>7301.94</v>
      </c>
    </row>
    <row r="26" spans="1:17" x14ac:dyDescent="0.25">
      <c r="A26" s="17" t="s">
        <v>2146</v>
      </c>
      <c r="B26" s="17" t="s">
        <v>2121</v>
      </c>
      <c r="C26" s="17" t="s">
        <v>2147</v>
      </c>
      <c r="D26" s="17" t="s">
        <v>1578</v>
      </c>
      <c r="E26" s="17" t="s">
        <v>2148</v>
      </c>
      <c r="N26" t="s">
        <v>2149</v>
      </c>
      <c r="O26" s="6">
        <v>46133</v>
      </c>
      <c r="P26" t="s">
        <v>1688</v>
      </c>
      <c r="Q26" s="18">
        <v>43543.12</v>
      </c>
    </row>
    <row r="27" spans="1:17" x14ac:dyDescent="0.25">
      <c r="A27" s="17" t="s">
        <v>2150</v>
      </c>
      <c r="B27" s="17" t="s">
        <v>2151</v>
      </c>
      <c r="C27" s="17" t="s">
        <v>2057</v>
      </c>
      <c r="D27" s="17" t="s">
        <v>2061</v>
      </c>
      <c r="E27" s="17" t="s">
        <v>2152</v>
      </c>
      <c r="N27" t="s">
        <v>2153</v>
      </c>
      <c r="O27" s="6">
        <v>46135</v>
      </c>
      <c r="P27" t="s">
        <v>1692</v>
      </c>
      <c r="Q27" s="18">
        <v>13883.74</v>
      </c>
    </row>
    <row r="28" spans="1:17" x14ac:dyDescent="0.25">
      <c r="A28" s="17" t="s">
        <v>2154</v>
      </c>
      <c r="B28" s="17" t="s">
        <v>2155</v>
      </c>
      <c r="C28" s="17" t="s">
        <v>2123</v>
      </c>
      <c r="D28" s="17" t="s">
        <v>1578</v>
      </c>
      <c r="E28" s="17" t="s">
        <v>2156</v>
      </c>
      <c r="N28" t="s">
        <v>2157</v>
      </c>
      <c r="O28" s="6">
        <v>46137</v>
      </c>
      <c r="P28" t="s">
        <v>1695</v>
      </c>
      <c r="Q28" s="18">
        <v>2305.9</v>
      </c>
    </row>
    <row r="29" spans="1:17" x14ac:dyDescent="0.25">
      <c r="A29" s="17" t="s">
        <v>2158</v>
      </c>
      <c r="B29" s="17" t="s">
        <v>2159</v>
      </c>
      <c r="C29" s="17" t="s">
        <v>2160</v>
      </c>
      <c r="D29" s="17" t="s">
        <v>1584</v>
      </c>
      <c r="E29" s="17" t="s">
        <v>2161</v>
      </c>
      <c r="N29" t="s">
        <v>2162</v>
      </c>
      <c r="O29" s="6">
        <v>46139</v>
      </c>
      <c r="P29" t="s">
        <v>1698</v>
      </c>
      <c r="Q29" s="18">
        <v>24175.05</v>
      </c>
    </row>
    <row r="30" spans="1:17" x14ac:dyDescent="0.25">
      <c r="A30" s="17" t="s">
        <v>2163</v>
      </c>
      <c r="B30" s="17" t="s">
        <v>2151</v>
      </c>
      <c r="C30" s="17" t="s">
        <v>2164</v>
      </c>
      <c r="D30" s="17" t="s">
        <v>1590</v>
      </c>
      <c r="E30" s="17" t="s">
        <v>2165</v>
      </c>
      <c r="N30" t="s">
        <v>2046</v>
      </c>
      <c r="O30" s="6">
        <v>46113</v>
      </c>
      <c r="P30" t="s">
        <v>1701</v>
      </c>
      <c r="Q30" s="18">
        <v>47549.64</v>
      </c>
    </row>
    <row r="31" spans="1:17" x14ac:dyDescent="0.25">
      <c r="A31" s="17" t="s">
        <v>2166</v>
      </c>
      <c r="B31" s="17" t="s">
        <v>2155</v>
      </c>
      <c r="C31" s="17" t="s">
        <v>2167</v>
      </c>
      <c r="D31" s="17" t="s">
        <v>1578</v>
      </c>
      <c r="E31" s="17" t="s">
        <v>2168</v>
      </c>
      <c r="N31" t="s">
        <v>2169</v>
      </c>
      <c r="O31" s="6">
        <v>46115</v>
      </c>
      <c r="P31" t="s">
        <v>1704</v>
      </c>
      <c r="Q31" s="18">
        <v>40145.03</v>
      </c>
    </row>
    <row r="32" spans="1:17" x14ac:dyDescent="0.25">
      <c r="A32" s="17" t="s">
        <v>2170</v>
      </c>
      <c r="B32" s="17" t="s">
        <v>2159</v>
      </c>
      <c r="C32" s="17" t="s">
        <v>2171</v>
      </c>
      <c r="D32" s="17" t="s">
        <v>2111</v>
      </c>
      <c r="E32" s="17" t="s">
        <v>2172</v>
      </c>
      <c r="N32" t="s">
        <v>2107</v>
      </c>
      <c r="O32" s="6">
        <v>46117</v>
      </c>
      <c r="P32" t="s">
        <v>1707</v>
      </c>
      <c r="Q32" s="18">
        <v>19173.310000000001</v>
      </c>
    </row>
    <row r="33" spans="1:17" x14ac:dyDescent="0.25">
      <c r="A33" s="17" t="s">
        <v>2173</v>
      </c>
      <c r="B33" s="17" t="s">
        <v>2174</v>
      </c>
      <c r="C33" s="17" t="s">
        <v>2063</v>
      </c>
      <c r="D33" s="17" t="s">
        <v>1635</v>
      </c>
      <c r="E33" s="17" t="s">
        <v>2175</v>
      </c>
      <c r="N33" t="s">
        <v>2176</v>
      </c>
      <c r="O33" s="6">
        <v>46119</v>
      </c>
      <c r="P33" t="s">
        <v>1710</v>
      </c>
      <c r="Q33" s="18">
        <v>47669.26</v>
      </c>
    </row>
    <row r="34" spans="1:17" x14ac:dyDescent="0.25">
      <c r="A34" s="17" t="s">
        <v>2177</v>
      </c>
      <c r="B34" s="17" t="s">
        <v>2178</v>
      </c>
      <c r="C34" s="17" t="s">
        <v>2179</v>
      </c>
      <c r="D34" s="17" t="s">
        <v>1624</v>
      </c>
      <c r="E34" s="17" t="s">
        <v>2180</v>
      </c>
      <c r="N34" t="s">
        <v>2160</v>
      </c>
      <c r="O34" s="6">
        <v>46121</v>
      </c>
      <c r="P34" t="s">
        <v>1714</v>
      </c>
      <c r="Q34" s="18">
        <v>38291</v>
      </c>
    </row>
    <row r="35" spans="1:17" x14ac:dyDescent="0.25">
      <c r="A35" s="17" t="s">
        <v>2181</v>
      </c>
      <c r="B35" s="17" t="s">
        <v>2182</v>
      </c>
      <c r="C35" s="17" t="s">
        <v>2183</v>
      </c>
      <c r="D35" s="17" t="s">
        <v>1630</v>
      </c>
      <c r="E35" s="17" t="s">
        <v>2184</v>
      </c>
      <c r="N35" t="s">
        <v>2183</v>
      </c>
      <c r="O35" s="6">
        <v>46123</v>
      </c>
      <c r="P35" t="s">
        <v>1718</v>
      </c>
      <c r="Q35" s="18">
        <v>40458.65</v>
      </c>
    </row>
    <row r="36" spans="1:17" x14ac:dyDescent="0.25">
      <c r="A36" s="17" t="s">
        <v>2185</v>
      </c>
      <c r="B36" s="17" t="s">
        <v>2174</v>
      </c>
      <c r="C36" s="17" t="s">
        <v>2186</v>
      </c>
      <c r="D36" s="17" t="s">
        <v>1635</v>
      </c>
      <c r="E36" s="17" t="s">
        <v>2187</v>
      </c>
      <c r="N36" t="s">
        <v>2188</v>
      </c>
      <c r="O36" s="6">
        <v>46125</v>
      </c>
      <c r="P36" t="s">
        <v>1722</v>
      </c>
      <c r="Q36" s="18">
        <v>31101.61</v>
      </c>
    </row>
    <row r="37" spans="1:17" x14ac:dyDescent="0.25">
      <c r="A37" s="17" t="s">
        <v>2189</v>
      </c>
      <c r="B37" s="17" t="s">
        <v>2178</v>
      </c>
      <c r="C37" s="17" t="s">
        <v>2190</v>
      </c>
      <c r="D37" s="17" t="s">
        <v>2131</v>
      </c>
      <c r="E37" s="17" t="s">
        <v>2191</v>
      </c>
      <c r="N37" t="s">
        <v>2192</v>
      </c>
      <c r="O37" s="6">
        <v>46127</v>
      </c>
      <c r="P37" t="s">
        <v>1726</v>
      </c>
      <c r="Q37" s="18">
        <v>19081.71</v>
      </c>
    </row>
    <row r="38" spans="1:17" x14ac:dyDescent="0.25">
      <c r="A38" s="17" t="s">
        <v>2193</v>
      </c>
      <c r="B38" s="17" t="s">
        <v>2182</v>
      </c>
      <c r="C38" s="17" t="s">
        <v>2194</v>
      </c>
      <c r="D38" s="17" t="s">
        <v>1630</v>
      </c>
      <c r="E38" s="17" t="s">
        <v>2195</v>
      </c>
      <c r="N38" t="s">
        <v>2196</v>
      </c>
      <c r="O38" s="6">
        <v>46129</v>
      </c>
      <c r="P38" t="s">
        <v>1729</v>
      </c>
      <c r="Q38" s="18">
        <v>43497.64</v>
      </c>
    </row>
    <row r="39" spans="1:17" x14ac:dyDescent="0.25">
      <c r="A39" s="17" t="s">
        <v>2197</v>
      </c>
      <c r="B39" s="17" t="s">
        <v>2198</v>
      </c>
      <c r="C39" s="17" t="s">
        <v>2199</v>
      </c>
      <c r="D39" s="17" t="s">
        <v>1624</v>
      </c>
      <c r="E39" s="17" t="s">
        <v>2200</v>
      </c>
      <c r="N39" t="s">
        <v>2201</v>
      </c>
      <c r="O39" s="6">
        <v>46131</v>
      </c>
      <c r="P39" t="s">
        <v>1732</v>
      </c>
      <c r="Q39" s="18">
        <v>22722.55</v>
      </c>
    </row>
    <row r="40" spans="1:17" x14ac:dyDescent="0.25">
      <c r="A40" s="17" t="s">
        <v>2202</v>
      </c>
      <c r="B40" s="17" t="s">
        <v>2203</v>
      </c>
      <c r="C40" s="17" t="s">
        <v>2068</v>
      </c>
      <c r="D40" s="17" t="s">
        <v>1578</v>
      </c>
      <c r="E40" s="17" t="s">
        <v>2204</v>
      </c>
      <c r="N40" t="s">
        <v>2205</v>
      </c>
      <c r="O40" s="6">
        <v>46133</v>
      </c>
      <c r="P40" t="s">
        <v>1735</v>
      </c>
      <c r="Q40" s="18">
        <v>44879.16</v>
      </c>
    </row>
    <row r="41" spans="1:17" x14ac:dyDescent="0.25">
      <c r="A41" s="17" t="s">
        <v>2206</v>
      </c>
      <c r="B41" s="17" t="s">
        <v>2207</v>
      </c>
      <c r="C41" s="17" t="s">
        <v>2133</v>
      </c>
      <c r="D41" s="17" t="s">
        <v>1584</v>
      </c>
      <c r="E41" s="17" t="s">
        <v>2208</v>
      </c>
      <c r="N41" t="s">
        <v>2209</v>
      </c>
      <c r="O41" s="6">
        <v>46135</v>
      </c>
      <c r="P41" t="s">
        <v>1739</v>
      </c>
      <c r="Q41" s="18">
        <v>26617.119999999999</v>
      </c>
    </row>
    <row r="42" spans="1:17" x14ac:dyDescent="0.25">
      <c r="A42" s="17" t="s">
        <v>2210</v>
      </c>
      <c r="B42" s="17" t="s">
        <v>2211</v>
      </c>
      <c r="C42" s="17" t="s">
        <v>2212</v>
      </c>
      <c r="D42" s="17" t="s">
        <v>2061</v>
      </c>
      <c r="E42" s="17" t="s">
        <v>2213</v>
      </c>
      <c r="N42" t="s">
        <v>2214</v>
      </c>
      <c r="O42" s="6">
        <v>46137</v>
      </c>
      <c r="P42" t="s">
        <v>1743</v>
      </c>
      <c r="Q42" s="18">
        <v>43695.69</v>
      </c>
    </row>
    <row r="43" spans="1:17" x14ac:dyDescent="0.25">
      <c r="A43" s="17" t="s">
        <v>2215</v>
      </c>
      <c r="B43" s="17" t="s">
        <v>2203</v>
      </c>
      <c r="C43" s="17" t="s">
        <v>2216</v>
      </c>
      <c r="D43" s="17" t="s">
        <v>1578</v>
      </c>
      <c r="E43" s="17" t="s">
        <v>2217</v>
      </c>
      <c r="N43" t="s">
        <v>2218</v>
      </c>
      <c r="O43" s="6">
        <v>46139</v>
      </c>
      <c r="P43" t="s">
        <v>1747</v>
      </c>
      <c r="Q43" s="18">
        <v>23034.22</v>
      </c>
    </row>
    <row r="44" spans="1:17" x14ac:dyDescent="0.25">
      <c r="A44" s="17" t="s">
        <v>2219</v>
      </c>
      <c r="B44" s="17" t="s">
        <v>2207</v>
      </c>
      <c r="C44" s="17" t="s">
        <v>2220</v>
      </c>
      <c r="D44" s="17" t="s">
        <v>1584</v>
      </c>
      <c r="E44" s="17" t="s">
        <v>2221</v>
      </c>
      <c r="N44" t="s">
        <v>2051</v>
      </c>
      <c r="O44" s="6">
        <v>46113</v>
      </c>
      <c r="P44" t="s">
        <v>1750</v>
      </c>
      <c r="Q44" s="18">
        <v>20630.689999999999</v>
      </c>
    </row>
    <row r="45" spans="1:17" x14ac:dyDescent="0.25">
      <c r="A45" s="17" t="s">
        <v>2222</v>
      </c>
      <c r="B45" s="17" t="s">
        <v>2211</v>
      </c>
      <c r="C45" s="17" t="s">
        <v>2223</v>
      </c>
      <c r="D45" s="17" t="s">
        <v>1590</v>
      </c>
      <c r="E45" s="17" t="s">
        <v>2224</v>
      </c>
      <c r="N45" t="s">
        <v>2082</v>
      </c>
      <c r="O45" s="6">
        <v>46115</v>
      </c>
      <c r="P45" t="s">
        <v>1753</v>
      </c>
      <c r="Q45" s="18">
        <v>28359.58</v>
      </c>
    </row>
    <row r="46" spans="1:17" x14ac:dyDescent="0.25">
      <c r="A46" s="17" t="s">
        <v>2225</v>
      </c>
      <c r="B46" s="17" t="s">
        <v>2226</v>
      </c>
      <c r="C46" s="17" t="s">
        <v>2227</v>
      </c>
      <c r="D46" s="17" t="s">
        <v>1624</v>
      </c>
      <c r="E46" s="17" t="s">
        <v>2228</v>
      </c>
      <c r="N46" t="s">
        <v>2110</v>
      </c>
      <c r="O46" s="6">
        <v>46117</v>
      </c>
      <c r="P46" t="s">
        <v>1756</v>
      </c>
      <c r="Q46" s="18">
        <v>15401.57</v>
      </c>
    </row>
    <row r="47" spans="1:17" x14ac:dyDescent="0.25">
      <c r="A47" s="17" t="s">
        <v>2229</v>
      </c>
      <c r="B47" s="17" t="s">
        <v>2230</v>
      </c>
      <c r="C47" s="17" t="s">
        <v>2137</v>
      </c>
      <c r="D47" s="17" t="s">
        <v>2088</v>
      </c>
      <c r="E47" s="17" t="s">
        <v>2231</v>
      </c>
      <c r="N47" t="s">
        <v>2135</v>
      </c>
      <c r="O47" s="6">
        <v>46119</v>
      </c>
      <c r="P47" t="s">
        <v>1758</v>
      </c>
      <c r="Q47" s="18">
        <v>7383.74</v>
      </c>
    </row>
    <row r="48" spans="1:17" x14ac:dyDescent="0.25">
      <c r="A48" s="17" t="s">
        <v>2232</v>
      </c>
      <c r="B48" s="17" t="s">
        <v>2233</v>
      </c>
      <c r="C48" s="17" t="s">
        <v>2192</v>
      </c>
      <c r="D48" s="17" t="s">
        <v>1635</v>
      </c>
      <c r="E48" s="17" t="s">
        <v>2234</v>
      </c>
      <c r="N48" t="s">
        <v>2235</v>
      </c>
      <c r="O48" s="6">
        <v>46121</v>
      </c>
      <c r="P48" t="s">
        <v>1760</v>
      </c>
      <c r="Q48" s="18">
        <v>28390.62</v>
      </c>
    </row>
    <row r="49" spans="1:17" x14ac:dyDescent="0.25">
      <c r="A49" s="17" t="s">
        <v>2236</v>
      </c>
      <c r="B49" s="17" t="s">
        <v>2226</v>
      </c>
      <c r="C49" s="17" t="s">
        <v>2237</v>
      </c>
      <c r="D49" s="17" t="s">
        <v>1624</v>
      </c>
      <c r="E49" s="17" t="s">
        <v>2238</v>
      </c>
      <c r="N49" t="s">
        <v>2186</v>
      </c>
      <c r="O49" s="6">
        <v>46123</v>
      </c>
      <c r="P49" t="s">
        <v>1763</v>
      </c>
      <c r="Q49" s="18">
        <v>40883.480000000003</v>
      </c>
    </row>
    <row r="50" spans="1:17" x14ac:dyDescent="0.25">
      <c r="A50" s="17" t="s">
        <v>2239</v>
      </c>
      <c r="B50" s="17" t="s">
        <v>2230</v>
      </c>
      <c r="C50" s="17" t="s">
        <v>2240</v>
      </c>
      <c r="D50" s="17" t="s">
        <v>1630</v>
      </c>
      <c r="E50" s="17" t="s">
        <v>2241</v>
      </c>
      <c r="N50" t="s">
        <v>2216</v>
      </c>
      <c r="O50" s="6">
        <v>46125</v>
      </c>
      <c r="P50" t="s">
        <v>1766</v>
      </c>
      <c r="Q50" s="18">
        <v>13513.82</v>
      </c>
    </row>
    <row r="51" spans="1:17" x14ac:dyDescent="0.25">
      <c r="A51" s="17" t="s">
        <v>2242</v>
      </c>
      <c r="B51" s="17" t="s">
        <v>2233</v>
      </c>
      <c r="C51" s="17" t="s">
        <v>2243</v>
      </c>
      <c r="D51" s="17" t="s">
        <v>1635</v>
      </c>
      <c r="E51" s="17" t="s">
        <v>2244</v>
      </c>
      <c r="N51" t="s">
        <v>2237</v>
      </c>
      <c r="O51" s="6">
        <v>46127</v>
      </c>
      <c r="P51" t="s">
        <v>1770</v>
      </c>
      <c r="Q51" s="18">
        <v>41554.769999999997</v>
      </c>
    </row>
    <row r="52" spans="1:17" x14ac:dyDescent="0.25">
      <c r="A52" s="17" t="s">
        <v>2245</v>
      </c>
      <c r="B52" s="17" t="s">
        <v>2246</v>
      </c>
      <c r="C52" s="17" t="s">
        <v>2080</v>
      </c>
      <c r="D52" s="17" t="s">
        <v>2111</v>
      </c>
      <c r="E52" s="17" t="s">
        <v>2247</v>
      </c>
      <c r="N52" t="s">
        <v>2248</v>
      </c>
      <c r="O52" s="6">
        <v>46129</v>
      </c>
      <c r="P52" t="s">
        <v>1774</v>
      </c>
      <c r="Q52" s="18">
        <v>37835.410000000003</v>
      </c>
    </row>
    <row r="53" spans="1:17" x14ac:dyDescent="0.25">
      <c r="A53" s="17" t="s">
        <v>2249</v>
      </c>
      <c r="B53" s="17" t="s">
        <v>2250</v>
      </c>
      <c r="C53" s="17" t="s">
        <v>2080</v>
      </c>
      <c r="D53" s="17" t="s">
        <v>1584</v>
      </c>
      <c r="E53" s="17" t="s">
        <v>2251</v>
      </c>
      <c r="N53" t="s">
        <v>2252</v>
      </c>
      <c r="O53" s="6">
        <v>46131</v>
      </c>
      <c r="P53" t="s">
        <v>1778</v>
      </c>
      <c r="Q53" s="18">
        <v>37288.519999999997</v>
      </c>
    </row>
    <row r="54" spans="1:17" x14ac:dyDescent="0.25">
      <c r="A54" s="17" t="s">
        <v>2253</v>
      </c>
      <c r="B54" s="17" t="s">
        <v>2254</v>
      </c>
      <c r="C54" s="17" t="s">
        <v>2255</v>
      </c>
      <c r="D54" s="17" t="s">
        <v>1590</v>
      </c>
      <c r="E54" s="17" t="s">
        <v>2256</v>
      </c>
      <c r="N54" t="s">
        <v>2257</v>
      </c>
      <c r="O54" s="6">
        <v>46133</v>
      </c>
      <c r="P54" t="s">
        <v>1782</v>
      </c>
      <c r="Q54" s="18">
        <v>20072.47</v>
      </c>
    </row>
    <row r="55" spans="1:17" x14ac:dyDescent="0.25">
      <c r="A55" s="17" t="s">
        <v>2258</v>
      </c>
      <c r="B55" s="17" t="s">
        <v>2246</v>
      </c>
      <c r="C55" s="17" t="s">
        <v>2196</v>
      </c>
      <c r="D55" s="17" t="s">
        <v>1578</v>
      </c>
      <c r="E55" s="17" t="s">
        <v>2259</v>
      </c>
      <c r="N55" t="s">
        <v>2260</v>
      </c>
      <c r="O55" s="6">
        <v>46135</v>
      </c>
      <c r="P55" t="s">
        <v>1786</v>
      </c>
      <c r="Q55" s="18">
        <v>47940.62</v>
      </c>
    </row>
    <row r="56" spans="1:17" x14ac:dyDescent="0.25">
      <c r="A56" s="17" t="s">
        <v>2261</v>
      </c>
      <c r="B56" s="17" t="s">
        <v>2250</v>
      </c>
      <c r="C56" s="17" t="s">
        <v>2248</v>
      </c>
      <c r="D56" s="17" t="s">
        <v>1584</v>
      </c>
      <c r="E56" s="17" t="s">
        <v>2262</v>
      </c>
      <c r="N56" t="s">
        <v>2263</v>
      </c>
      <c r="O56" s="6">
        <v>46137</v>
      </c>
      <c r="P56" t="s">
        <v>1790</v>
      </c>
      <c r="Q56" s="18">
        <v>38014.44</v>
      </c>
    </row>
    <row r="57" spans="1:17" x14ac:dyDescent="0.25">
      <c r="A57" s="17" t="s">
        <v>2264</v>
      </c>
      <c r="B57" s="17" t="s">
        <v>2254</v>
      </c>
      <c r="C57" s="17" t="s">
        <v>2265</v>
      </c>
      <c r="D57" s="17" t="s">
        <v>2034</v>
      </c>
      <c r="E57" s="17" t="s">
        <v>2266</v>
      </c>
      <c r="N57" t="s">
        <v>2267</v>
      </c>
      <c r="O57" s="6">
        <v>46139</v>
      </c>
      <c r="P57" t="s">
        <v>1793</v>
      </c>
      <c r="Q57" s="18">
        <v>27737.23</v>
      </c>
    </row>
    <row r="58" spans="1:17" x14ac:dyDescent="0.25">
      <c r="A58" s="17" t="s">
        <v>2268</v>
      </c>
      <c r="B58" s="17" t="s">
        <v>2246</v>
      </c>
      <c r="C58" s="17" t="s">
        <v>2269</v>
      </c>
      <c r="D58" s="17" t="s">
        <v>1584</v>
      </c>
      <c r="E58" s="17" t="s">
        <v>2270</v>
      </c>
      <c r="N58" t="s">
        <v>2271</v>
      </c>
      <c r="O58" s="6">
        <v>46113</v>
      </c>
      <c r="P58" t="s">
        <v>1795</v>
      </c>
      <c r="Q58" s="18">
        <v>5670.1</v>
      </c>
    </row>
    <row r="59" spans="1:17" x14ac:dyDescent="0.25">
      <c r="A59" s="17" t="s">
        <v>2272</v>
      </c>
      <c r="B59" s="17" t="s">
        <v>2273</v>
      </c>
      <c r="C59" s="17" t="s">
        <v>2084</v>
      </c>
      <c r="D59" s="17" t="s">
        <v>1630</v>
      </c>
      <c r="E59" s="17" t="s">
        <v>2274</v>
      </c>
      <c r="N59" t="s">
        <v>2087</v>
      </c>
      <c r="O59" s="6">
        <v>46115</v>
      </c>
      <c r="P59" t="s">
        <v>1798</v>
      </c>
      <c r="Q59" s="18">
        <v>27649.69</v>
      </c>
    </row>
    <row r="60" spans="1:17" x14ac:dyDescent="0.25">
      <c r="A60" s="17" t="s">
        <v>2275</v>
      </c>
      <c r="B60" s="17" t="s">
        <v>2276</v>
      </c>
      <c r="C60" s="17" t="s">
        <v>2145</v>
      </c>
      <c r="D60" s="17" t="s">
        <v>1635</v>
      </c>
      <c r="E60" s="17" t="s">
        <v>2277</v>
      </c>
      <c r="N60" t="s">
        <v>2278</v>
      </c>
      <c r="O60" s="6">
        <v>46117</v>
      </c>
      <c r="P60" t="s">
        <v>1800</v>
      </c>
      <c r="Q60" s="18">
        <v>936.7</v>
      </c>
    </row>
    <row r="61" spans="1:17" x14ac:dyDescent="0.25">
      <c r="A61" s="17" t="s">
        <v>2279</v>
      </c>
      <c r="B61" s="17" t="s">
        <v>2280</v>
      </c>
      <c r="C61" s="17" t="s">
        <v>2201</v>
      </c>
      <c r="D61" s="17" t="s">
        <v>1624</v>
      </c>
      <c r="E61" s="17" t="s">
        <v>2281</v>
      </c>
      <c r="N61" t="s">
        <v>2139</v>
      </c>
      <c r="O61" s="6">
        <v>46119</v>
      </c>
      <c r="P61" t="s">
        <v>1803</v>
      </c>
      <c r="Q61" s="18">
        <v>43330.46</v>
      </c>
    </row>
    <row r="62" spans="1:17" x14ac:dyDescent="0.25">
      <c r="A62" s="17" t="s">
        <v>2282</v>
      </c>
      <c r="B62" s="17" t="s">
        <v>2273</v>
      </c>
      <c r="C62" s="17" t="s">
        <v>2283</v>
      </c>
      <c r="D62" s="17" t="s">
        <v>2088</v>
      </c>
      <c r="E62" s="17" t="s">
        <v>2284</v>
      </c>
      <c r="N62" t="s">
        <v>2167</v>
      </c>
      <c r="O62" s="6">
        <v>46121</v>
      </c>
      <c r="P62" t="s">
        <v>1806</v>
      </c>
      <c r="Q62" s="18">
        <v>16327.29</v>
      </c>
    </row>
    <row r="63" spans="1:17" x14ac:dyDescent="0.25">
      <c r="A63" s="17" t="s">
        <v>2285</v>
      </c>
      <c r="B63" s="17" t="s">
        <v>2276</v>
      </c>
      <c r="C63" s="17" t="s">
        <v>2286</v>
      </c>
      <c r="D63" s="17" t="s">
        <v>1635</v>
      </c>
      <c r="E63" s="17" t="s">
        <v>2287</v>
      </c>
      <c r="N63" t="s">
        <v>2190</v>
      </c>
      <c r="O63" s="6">
        <v>46123</v>
      </c>
      <c r="P63" t="s">
        <v>1809</v>
      </c>
      <c r="Q63" s="18">
        <v>17838.47</v>
      </c>
    </row>
    <row r="64" spans="1:17" x14ac:dyDescent="0.25">
      <c r="A64" s="17" t="s">
        <v>2288</v>
      </c>
      <c r="B64" s="17" t="s">
        <v>2280</v>
      </c>
      <c r="C64" s="17" t="s">
        <v>2289</v>
      </c>
      <c r="D64" s="17" t="s">
        <v>1624</v>
      </c>
      <c r="E64" s="17" t="s">
        <v>2290</v>
      </c>
      <c r="N64" t="s">
        <v>2220</v>
      </c>
      <c r="O64" s="6">
        <v>46125</v>
      </c>
      <c r="P64" t="s">
        <v>1812</v>
      </c>
      <c r="Q64" s="18">
        <v>26554.67</v>
      </c>
    </row>
    <row r="65" spans="1:17" x14ac:dyDescent="0.25">
      <c r="A65" s="17" t="s">
        <v>2291</v>
      </c>
      <c r="B65" s="17" t="s">
        <v>2292</v>
      </c>
      <c r="C65" s="17" t="s">
        <v>2090</v>
      </c>
      <c r="D65" s="17" t="s">
        <v>1590</v>
      </c>
      <c r="E65" s="17" t="s">
        <v>2293</v>
      </c>
      <c r="N65" t="s">
        <v>2294</v>
      </c>
      <c r="O65" s="6">
        <v>46127</v>
      </c>
      <c r="P65" t="s">
        <v>1816</v>
      </c>
      <c r="Q65" s="18">
        <v>30688.91</v>
      </c>
    </row>
    <row r="66" spans="1:17" x14ac:dyDescent="0.25">
      <c r="A66" s="17" t="s">
        <v>2295</v>
      </c>
      <c r="B66" s="17" t="s">
        <v>2296</v>
      </c>
      <c r="C66" s="17" t="s">
        <v>2297</v>
      </c>
      <c r="D66" s="17" t="s">
        <v>1578</v>
      </c>
      <c r="E66" s="17" t="s">
        <v>2298</v>
      </c>
      <c r="N66" t="s">
        <v>2299</v>
      </c>
      <c r="O66" s="6">
        <v>46129</v>
      </c>
      <c r="P66" t="s">
        <v>1819</v>
      </c>
      <c r="Q66" s="18">
        <v>28075.22</v>
      </c>
    </row>
    <row r="67" spans="1:17" x14ac:dyDescent="0.25">
      <c r="A67" s="17" t="s">
        <v>2300</v>
      </c>
      <c r="B67" s="17" t="s">
        <v>2301</v>
      </c>
      <c r="C67" s="17" t="s">
        <v>2257</v>
      </c>
      <c r="D67" s="17" t="s">
        <v>2061</v>
      </c>
      <c r="E67" s="17" t="s">
        <v>2302</v>
      </c>
      <c r="N67" t="s">
        <v>2286</v>
      </c>
      <c r="O67" s="6">
        <v>46131</v>
      </c>
      <c r="P67" t="s">
        <v>1822</v>
      </c>
      <c r="Q67" s="18">
        <v>23405.18</v>
      </c>
    </row>
    <row r="68" spans="1:17" x14ac:dyDescent="0.25">
      <c r="A68" s="17" t="s">
        <v>2303</v>
      </c>
      <c r="B68" s="17" t="s">
        <v>2292</v>
      </c>
      <c r="C68" s="17" t="s">
        <v>2304</v>
      </c>
      <c r="D68" s="17" t="s">
        <v>1578</v>
      </c>
      <c r="E68" s="17" t="s">
        <v>2305</v>
      </c>
      <c r="N68" t="s">
        <v>2304</v>
      </c>
      <c r="O68" s="6">
        <v>46133</v>
      </c>
      <c r="P68" t="s">
        <v>1825</v>
      </c>
      <c r="Q68" s="18">
        <v>30540.46</v>
      </c>
    </row>
    <row r="69" spans="1:17" x14ac:dyDescent="0.25">
      <c r="A69" s="17" t="s">
        <v>2306</v>
      </c>
      <c r="B69" s="17" t="s">
        <v>2307</v>
      </c>
      <c r="C69" s="17" t="s">
        <v>2153</v>
      </c>
      <c r="D69" s="17" t="s">
        <v>1624</v>
      </c>
      <c r="E69" s="17" t="s">
        <v>2308</v>
      </c>
      <c r="N69" t="s">
        <v>2309</v>
      </c>
      <c r="O69" s="6">
        <v>46135</v>
      </c>
      <c r="P69" t="s">
        <v>1828</v>
      </c>
      <c r="Q69" s="18">
        <v>40701.040000000001</v>
      </c>
    </row>
    <row r="70" spans="1:17" x14ac:dyDescent="0.25">
      <c r="A70" s="17" t="s">
        <v>2310</v>
      </c>
      <c r="B70" s="17" t="s">
        <v>2311</v>
      </c>
      <c r="C70" s="17" t="s">
        <v>2312</v>
      </c>
      <c r="D70" s="17" t="s">
        <v>1630</v>
      </c>
      <c r="E70" s="17" t="s">
        <v>2313</v>
      </c>
      <c r="N70" t="s">
        <v>2314</v>
      </c>
      <c r="O70" s="6">
        <v>46137</v>
      </c>
      <c r="P70" t="s">
        <v>1831</v>
      </c>
      <c r="Q70" s="18">
        <v>21556.5</v>
      </c>
    </row>
    <row r="71" spans="1:17" x14ac:dyDescent="0.25">
      <c r="A71" s="17" t="s">
        <v>2315</v>
      </c>
      <c r="B71" s="17" t="s">
        <v>2316</v>
      </c>
      <c r="C71" s="17" t="s">
        <v>2260</v>
      </c>
      <c r="D71" s="17" t="s">
        <v>1635</v>
      </c>
      <c r="E71" s="17" t="s">
        <v>2317</v>
      </c>
      <c r="N71" t="s">
        <v>2318</v>
      </c>
      <c r="O71" s="6">
        <v>46139</v>
      </c>
      <c r="P71" t="s">
        <v>1835</v>
      </c>
      <c r="Q71" s="18">
        <v>24128.79</v>
      </c>
    </row>
    <row r="72" spans="1:17" x14ac:dyDescent="0.25">
      <c r="A72" s="17" t="s">
        <v>2319</v>
      </c>
      <c r="B72" s="17" t="s">
        <v>2307</v>
      </c>
      <c r="C72" s="17" t="s">
        <v>2309</v>
      </c>
      <c r="D72" s="17" t="s">
        <v>2131</v>
      </c>
      <c r="E72" s="17" t="s">
        <v>2320</v>
      </c>
      <c r="N72" t="s">
        <v>2060</v>
      </c>
      <c r="O72" s="6">
        <v>46113</v>
      </c>
      <c r="P72" t="s">
        <v>1838</v>
      </c>
      <c r="Q72" s="18">
        <v>38944.07</v>
      </c>
    </row>
    <row r="73" spans="1:17" x14ac:dyDescent="0.25">
      <c r="A73" s="17" t="s">
        <v>2321</v>
      </c>
      <c r="B73" s="17" t="s">
        <v>2322</v>
      </c>
      <c r="C73" s="17" t="s">
        <v>2099</v>
      </c>
      <c r="D73" s="17" t="s">
        <v>1578</v>
      </c>
      <c r="E73" s="17" t="s">
        <v>2323</v>
      </c>
      <c r="N73" t="s">
        <v>2092</v>
      </c>
      <c r="O73" s="6">
        <v>46115</v>
      </c>
      <c r="P73" t="s">
        <v>1841</v>
      </c>
      <c r="Q73" s="18">
        <v>412.64</v>
      </c>
    </row>
    <row r="74" spans="1:17" x14ac:dyDescent="0.25">
      <c r="A74" s="17" t="s">
        <v>2324</v>
      </c>
      <c r="B74" s="17" t="s">
        <v>2325</v>
      </c>
      <c r="C74" s="17" t="s">
        <v>2326</v>
      </c>
      <c r="D74" s="17" t="s">
        <v>1584</v>
      </c>
      <c r="E74" s="17" t="s">
        <v>2327</v>
      </c>
      <c r="N74" t="s">
        <v>2117</v>
      </c>
      <c r="O74" s="6">
        <v>46117</v>
      </c>
      <c r="P74" t="s">
        <v>1844</v>
      </c>
      <c r="Q74" s="18">
        <v>7923.93</v>
      </c>
    </row>
    <row r="75" spans="1:17" x14ac:dyDescent="0.25">
      <c r="A75" s="17" t="s">
        <v>2328</v>
      </c>
      <c r="B75" s="17" t="s">
        <v>2329</v>
      </c>
      <c r="C75" s="17" t="s">
        <v>2214</v>
      </c>
      <c r="D75" s="17" t="s">
        <v>1590</v>
      </c>
      <c r="E75" s="17" t="s">
        <v>2330</v>
      </c>
      <c r="N75" t="s">
        <v>2143</v>
      </c>
      <c r="O75" s="6">
        <v>46119</v>
      </c>
      <c r="P75" t="s">
        <v>1846</v>
      </c>
      <c r="Q75" s="18">
        <v>15770.18</v>
      </c>
    </row>
    <row r="76" spans="1:17" x14ac:dyDescent="0.25">
      <c r="A76" s="17" t="s">
        <v>2331</v>
      </c>
      <c r="B76" s="17" t="s">
        <v>2322</v>
      </c>
      <c r="C76" s="17" t="s">
        <v>2263</v>
      </c>
      <c r="D76" s="17" t="s">
        <v>1578</v>
      </c>
      <c r="E76" s="17" t="s">
        <v>2332</v>
      </c>
      <c r="N76" t="s">
        <v>2171</v>
      </c>
      <c r="O76" s="6">
        <v>46121</v>
      </c>
      <c r="P76" t="s">
        <v>1848</v>
      </c>
      <c r="Q76" s="18">
        <v>10465.51</v>
      </c>
    </row>
    <row r="77" spans="1:17" x14ac:dyDescent="0.25">
      <c r="A77" s="17" t="s">
        <v>2333</v>
      </c>
      <c r="B77" s="17" t="s">
        <v>2325</v>
      </c>
      <c r="C77" s="17" t="s">
        <v>2314</v>
      </c>
      <c r="D77" s="17" t="s">
        <v>2111</v>
      </c>
      <c r="E77" s="17" t="s">
        <v>2334</v>
      </c>
      <c r="N77" t="s">
        <v>2335</v>
      </c>
      <c r="O77" s="6">
        <v>46123</v>
      </c>
      <c r="P77" t="s">
        <v>1850</v>
      </c>
      <c r="Q77" s="18">
        <v>43034.48</v>
      </c>
    </row>
    <row r="78" spans="1:17" x14ac:dyDescent="0.25">
      <c r="A78" s="17" t="s">
        <v>2336</v>
      </c>
      <c r="B78" s="17" t="s">
        <v>2337</v>
      </c>
      <c r="C78" s="17" t="s">
        <v>2338</v>
      </c>
      <c r="D78" s="17" t="s">
        <v>1624</v>
      </c>
      <c r="E78" s="17" t="s">
        <v>2339</v>
      </c>
      <c r="N78" t="s">
        <v>2223</v>
      </c>
      <c r="O78" s="6">
        <v>46125</v>
      </c>
      <c r="P78" t="s">
        <v>1852</v>
      </c>
      <c r="Q78" s="18">
        <v>7327.32</v>
      </c>
    </row>
    <row r="79" spans="1:17" x14ac:dyDescent="0.25">
      <c r="A79" s="17" t="s">
        <v>2340</v>
      </c>
      <c r="B79" s="17" t="s">
        <v>2341</v>
      </c>
      <c r="C79" s="17" t="s">
        <v>2162</v>
      </c>
      <c r="D79" s="17" t="s">
        <v>1630</v>
      </c>
      <c r="E79" s="17" t="s">
        <v>2342</v>
      </c>
      <c r="N79" t="s">
        <v>2243</v>
      </c>
      <c r="O79" s="6">
        <v>46127</v>
      </c>
      <c r="P79" t="s">
        <v>1854</v>
      </c>
      <c r="Q79" s="18">
        <v>5401.59</v>
      </c>
    </row>
    <row r="80" spans="1:17" x14ac:dyDescent="0.25">
      <c r="A80" s="17" t="s">
        <v>2343</v>
      </c>
      <c r="B80" s="17" t="s">
        <v>2344</v>
      </c>
      <c r="C80" s="17" t="s">
        <v>2218</v>
      </c>
      <c r="D80" s="17" t="s">
        <v>1635</v>
      </c>
      <c r="E80" s="17" t="s">
        <v>2345</v>
      </c>
      <c r="N80" t="s">
        <v>2265</v>
      </c>
      <c r="O80" s="6">
        <v>46129</v>
      </c>
      <c r="P80" t="s">
        <v>1857</v>
      </c>
      <c r="Q80" s="18">
        <v>15396.35</v>
      </c>
    </row>
    <row r="81" spans="1:17" x14ac:dyDescent="0.25">
      <c r="A81" s="17" t="s">
        <v>2346</v>
      </c>
      <c r="B81" s="17" t="s">
        <v>2337</v>
      </c>
      <c r="C81" s="17" t="s">
        <v>2267</v>
      </c>
      <c r="D81" s="17" t="s">
        <v>1624</v>
      </c>
      <c r="E81" s="17" t="s">
        <v>2347</v>
      </c>
      <c r="N81" t="s">
        <v>2289</v>
      </c>
      <c r="O81" s="6">
        <v>46131</v>
      </c>
      <c r="P81" t="s">
        <v>1861</v>
      </c>
      <c r="Q81" s="18">
        <v>24537.599999999999</v>
      </c>
    </row>
    <row r="82" spans="1:17" x14ac:dyDescent="0.25">
      <c r="A82" s="17" t="s">
        <v>2348</v>
      </c>
      <c r="B82" s="17" t="s">
        <v>2349</v>
      </c>
      <c r="C82" s="17" t="s">
        <v>2350</v>
      </c>
      <c r="D82" s="17" t="s">
        <v>2088</v>
      </c>
      <c r="E82" s="17" t="s">
        <v>2351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00_Agenda</vt:lpstr>
      <vt:lpstr>01_Foundations</vt:lpstr>
      <vt:lpstr>02_Formulas</vt:lpstr>
      <vt:lpstr>03_Checks</vt:lpstr>
      <vt:lpstr>04_Cleaning</vt:lpstr>
      <vt:lpstr>05_Pivots</vt:lpstr>
      <vt:lpstr>06_Reconcile</vt:lpstr>
      <vt:lpstr>07_Lab_Tasks</vt:lpstr>
      <vt:lpstr>07_Lab_Data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Ops Analyst Excel Primer</dc:title>
  <dc:creator>Revature - Ops Analyst programme</dc:creator>
  <cp:lastModifiedBy>Jonathan De La Cruz</cp:lastModifiedBy>
  <dcterms:created xsi:type="dcterms:W3CDTF">2026-09-09T22:13:30Z</dcterms:created>
  <dcterms:modified xsi:type="dcterms:W3CDTF">2026-09-09T22:13:34Z</dcterms:modified>
</cp:coreProperties>
</file>