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sapanapatel\Desktop\"/>
    </mc:Choice>
  </mc:AlternateContent>
  <xr:revisionPtr revIDLastSave="0" documentId="13_ncr:1_{9CABB3B9-91A4-4578-8778-3D3A4E4BD3B6}" xr6:coauthVersionLast="47" xr6:coauthVersionMax="47" xr10:uidLastSave="{00000000-0000-0000-0000-000000000000}"/>
  <bookViews>
    <workbookView xWindow="-28920" yWindow="45" windowWidth="29040" windowHeight="15720" tabRatio="869" xr2:uid="{297E3F9B-E661-414D-B8E2-AB02E90981A9}"/>
  </bookViews>
  <sheets>
    <sheet name="Investigation Guide" sheetId="12" r:id="rId1"/>
    <sheet name="Party &amp; Accounts Details" sheetId="1" r:id="rId2"/>
    <sheet name="Accounts" sheetId="2" r:id="rId3"/>
    <sheet name="Event Details" sheetId="5" r:id="rId4"/>
    <sheet name="Transactions" sheetId="4" r:id="rId5"/>
    <sheet name="Support_Docs" sheetId="7" r:id="rId6"/>
    <sheet name="Open_Source_Research" sheetId="8" r:id="rId7"/>
    <sheet name="Disposition &amp; Narrative" sheetId="9" r:id="rId8"/>
    <sheet name="SAR Structured Form" sheetId="10" r:id="rId9"/>
    <sheet name="Case Study Questions" sheetId="13" r:id="rId10"/>
  </sheets>
  <definedNames>
    <definedName name="_xlnm._FilterDatabase" localSheetId="3" hidden="1">'Event Details'!$A$3:$F$3</definedName>
    <definedName name="_xlnm._FilterDatabase" localSheetId="4" hidden="1">Transactions!$A$1:$AB$177</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9" i="4" l="1"/>
  <c r="F179" i="4"/>
  <c r="G16" i="5"/>
  <c r="D3" i="4" l="1"/>
  <c r="D4" i="4" s="1"/>
  <c r="D5" i="4" s="1"/>
  <c r="D6" i="4" s="1"/>
  <c r="D7" i="4" s="1"/>
  <c r="D8" i="4" s="1"/>
  <c r="D9" i="4" s="1"/>
  <c r="D10" i="4" s="1"/>
  <c r="D11" i="4" s="1"/>
  <c r="D12" i="4" s="1"/>
  <c r="D13" i="4" s="1"/>
  <c r="D14" i="4" s="1"/>
  <c r="D15" i="4" s="1"/>
  <c r="D16" i="4" s="1"/>
  <c r="D17" i="4" s="1"/>
  <c r="D18" i="4" s="1"/>
  <c r="D19" i="4" s="1"/>
  <c r="D20" i="4" s="1"/>
  <c r="D21" i="4" s="1"/>
  <c r="D22" i="4" s="1"/>
  <c r="D23" i="4" s="1"/>
  <c r="D24" i="4" s="1"/>
  <c r="D25" i="4" s="1"/>
  <c r="D26" i="4" s="1"/>
  <c r="D27" i="4" s="1"/>
  <c r="D28" i="4" s="1"/>
  <c r="D29" i="4" s="1"/>
  <c r="D30" i="4" s="1"/>
  <c r="D31" i="4" s="1"/>
  <c r="D32" i="4" s="1"/>
  <c r="D33" i="4" s="1"/>
  <c r="D34" i="4" s="1"/>
  <c r="D35" i="4" s="1"/>
  <c r="D36" i="4" s="1"/>
  <c r="D37" i="4" s="1"/>
  <c r="D38" i="4" s="1"/>
  <c r="D39" i="4" s="1"/>
  <c r="D40" i="4" s="1"/>
  <c r="D41" i="4" s="1"/>
  <c r="D42" i="4" s="1"/>
  <c r="D43" i="4" s="1"/>
  <c r="D44" i="4" s="1"/>
  <c r="D45" i="4" s="1"/>
  <c r="D46" i="4" s="1"/>
  <c r="D47" i="4" s="1"/>
  <c r="D48" i="4" s="1"/>
  <c r="D49" i="4" s="1"/>
  <c r="D50" i="4" s="1"/>
  <c r="D51" i="4" s="1"/>
  <c r="D52" i="4" s="1"/>
  <c r="D53" i="4" s="1"/>
  <c r="D54" i="4" s="1"/>
  <c r="D55" i="4" s="1"/>
  <c r="D56" i="4" s="1"/>
  <c r="D57" i="4" s="1"/>
  <c r="D58" i="4" s="1"/>
  <c r="D59" i="4" s="1"/>
  <c r="D60" i="4" s="1"/>
  <c r="D61" i="4" s="1"/>
  <c r="D62" i="4" s="1"/>
  <c r="D63" i="4" s="1"/>
  <c r="D64" i="4" s="1"/>
  <c r="D65" i="4" s="1"/>
  <c r="D66" i="4" s="1"/>
  <c r="D67" i="4" s="1"/>
  <c r="D68" i="4" s="1"/>
  <c r="D69" i="4" s="1"/>
  <c r="D70" i="4" s="1"/>
  <c r="D71" i="4" s="1"/>
  <c r="D72" i="4" s="1"/>
  <c r="D73" i="4" s="1"/>
  <c r="D74" i="4" s="1"/>
  <c r="D75" i="4" s="1"/>
  <c r="D76" i="4" s="1"/>
  <c r="D77" i="4" s="1"/>
  <c r="D78" i="4" s="1"/>
  <c r="D79" i="4" s="1"/>
  <c r="D80" i="4" s="1"/>
  <c r="D81" i="4" s="1"/>
  <c r="D82" i="4" s="1"/>
  <c r="D83" i="4" s="1"/>
  <c r="D84" i="4" s="1"/>
  <c r="D85" i="4" s="1"/>
  <c r="D86" i="4" s="1"/>
  <c r="D87" i="4" s="1"/>
  <c r="D88" i="4" s="1"/>
  <c r="D89" i="4" s="1"/>
  <c r="D90" i="4" s="1"/>
  <c r="D91" i="4" s="1"/>
  <c r="D92" i="4" s="1"/>
  <c r="D93" i="4" s="1"/>
  <c r="D94" i="4" s="1"/>
  <c r="D95" i="4" s="1"/>
  <c r="D96" i="4" s="1"/>
  <c r="D97" i="4" s="1"/>
  <c r="D98" i="4" s="1"/>
  <c r="D99" i="4" s="1"/>
  <c r="D100" i="4" s="1"/>
  <c r="D101" i="4" s="1"/>
  <c r="D102" i="4" s="1"/>
  <c r="D103" i="4" s="1"/>
  <c r="D104" i="4" s="1"/>
  <c r="D105" i="4" s="1"/>
  <c r="D106" i="4" s="1"/>
  <c r="D107" i="4" s="1"/>
  <c r="D108" i="4" s="1"/>
  <c r="D109" i="4" s="1"/>
  <c r="D110" i="4" s="1"/>
  <c r="D111" i="4" s="1"/>
  <c r="D112" i="4" s="1"/>
  <c r="D113" i="4" s="1"/>
  <c r="D114" i="4" s="1"/>
  <c r="D115" i="4" s="1"/>
  <c r="D116" i="4" s="1"/>
  <c r="D117" i="4" s="1"/>
  <c r="D118" i="4" s="1"/>
  <c r="D119" i="4" s="1"/>
  <c r="D120" i="4" s="1"/>
  <c r="D121" i="4" s="1"/>
  <c r="D122" i="4" s="1"/>
  <c r="D123" i="4" s="1"/>
  <c r="D124" i="4" s="1"/>
  <c r="D125" i="4" s="1"/>
  <c r="D126" i="4" s="1"/>
  <c r="D127" i="4" s="1"/>
  <c r="D128" i="4" s="1"/>
  <c r="D129" i="4" s="1"/>
  <c r="D130" i="4" s="1"/>
  <c r="D131" i="4" s="1"/>
  <c r="D132" i="4" s="1"/>
  <c r="D133" i="4" s="1"/>
  <c r="D134" i="4" s="1"/>
  <c r="D135" i="4" s="1"/>
  <c r="D136" i="4" s="1"/>
  <c r="D137" i="4" s="1"/>
  <c r="D138" i="4" s="1"/>
  <c r="D139" i="4" s="1"/>
  <c r="D140" i="4" s="1"/>
  <c r="D141" i="4" s="1"/>
  <c r="D142" i="4" s="1"/>
  <c r="D143" i="4" s="1"/>
  <c r="D144" i="4" s="1"/>
  <c r="D145" i="4" s="1"/>
  <c r="D146" i="4" s="1"/>
  <c r="D147" i="4" s="1"/>
  <c r="D148" i="4" s="1"/>
  <c r="D149" i="4" s="1"/>
  <c r="D150" i="4" s="1"/>
  <c r="D151" i="4" s="1"/>
  <c r="D152" i="4" s="1"/>
  <c r="D153" i="4" s="1"/>
  <c r="D154" i="4" s="1"/>
  <c r="D155" i="4" s="1"/>
  <c r="D156" i="4" s="1"/>
  <c r="D157" i="4" s="1"/>
  <c r="D158" i="4" s="1"/>
  <c r="D159" i="4" s="1"/>
  <c r="D160" i="4" s="1"/>
  <c r="D161" i="4" s="1"/>
  <c r="D162" i="4" s="1"/>
  <c r="D163" i="4" s="1"/>
  <c r="D164" i="4" s="1"/>
  <c r="D165" i="4" s="1"/>
  <c r="D166" i="4" s="1"/>
  <c r="D167" i="4" s="1"/>
  <c r="D168" i="4" s="1"/>
  <c r="D169" i="4" s="1"/>
  <c r="D170" i="4" s="1"/>
  <c r="D171" i="4" s="1"/>
  <c r="D172" i="4" s="1"/>
  <c r="D173" i="4" s="1"/>
  <c r="D174" i="4" s="1"/>
  <c r="D175" i="4" s="1"/>
  <c r="D176" i="4" s="1"/>
  <c r="D177"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tc={038B1279-CB29-4B31-B834-D5A96A90004F}</author>
    <author>tc={FF6863A5-56E6-4E5A-98DD-FAFA8D360190}</author>
    <author>tc={A5333227-2AAB-4D93-9E46-BCB79A21C8BE}</author>
    <author>tc={77F31797-F773-490C-81D7-9857DD1FC3A0}</author>
    <author>tc={CC685609-283C-4B96-A247-C2639AE662E3}</author>
    <author>tc={AC94BA59-AA08-41C6-885B-6379DF423778}</author>
  </authors>
  <commentList>
    <comment ref="E25" authorId="0" shapeId="0" xr:uid="{038B1279-CB29-4B31-B834-D5A96A90004F}">
      <text>
        <t>[Threaded comment]
Your version of Excel allows you to read this threaded comment; however, any edits to it will get removed if the file is opened in a newer version of Excel. Learn more: https://go.microsoft.com/fwlink/?linkid=870924
Comment:
    Enter the total dollar amount involved in the 
suspicious activity for the time period of this report. If the amount is unknown, leave this item 
blank</t>
      </text>
    </comment>
    <comment ref="F27" authorId="1" shapeId="0" xr:uid="{FF6863A5-56E6-4E5A-98DD-FAFA8D360190}">
      <text>
        <t>[Threaded comment]
Your version of Excel allows you to read this threaded comment; however, any edits to it will get removed if the file is opened in a newer version of Excel. Learn more: https://go.microsoft.com/fwlink/?linkid=870924
Comment:
    Only use this field when filing a continuing activity report.  This will add the previous filing amount to the new report amount</t>
      </text>
    </comment>
    <comment ref="C30" authorId="2" shapeId="0" xr:uid="{A5333227-2AAB-4D93-9E46-BCB79A21C8BE}">
      <text>
        <t>[Threaded comment]
Your version of Excel allows you to read this threaded comment; however, any edits to it will get removed if the file is opened in a newer version of Excel. Learn more: https://go.microsoft.com/fwlink/?linkid=870924
Comment:
    In section 32 Structuring, select the appropriate box. BSA refers to monetary instrument record keeping requirement at $3,000 and BSA refers to currency transactions greater than $10,000</t>
      </text>
    </comment>
    <comment ref="C36" authorId="3" shapeId="0" xr:uid="{77F31797-F773-490C-81D7-9857DD1FC3A0}">
      <text>
        <t>[Threaded comment]
Your version of Excel allows you to read this threaded comment; however, any edits to it will get removed if the file is opened in a newer version of Excel. Learn more: https://go.microsoft.com/fwlink/?linkid=870924
Comment:
    In section 36 Money Laundering, select applicable activities. Common selections are source of funds, EFT/wire transfer and use of multiple accounts</t>
      </text>
    </comment>
    <comment ref="C46" authorId="4" shapeId="0" xr:uid="{CC685609-283C-4B96-A247-C2639AE662E3}">
      <text>
        <t>[Threaded comment]
Your version of Excel allows you to read this threaded comment; however, any edits to it will get removed if the file is opened in a newer version of Excel. Learn more: https://go.microsoft.com/fwlink/?linkid=870924
Comment:
    In section 38 Other Suspicious Activities, select applicable activites related to the reported fraud. Common selections are Account Takover, Counterfeit Instruments, Elder Financial Explotation, Forgery, two or more invididuals working together</t>
      </text>
    </comment>
    <comment ref="C59" authorId="5" shapeId="0" xr:uid="{AC94BA59-AA08-41C6-885B-6379DF423778}">
      <text>
        <t>[Threaded comment]
Your version of Excel allows you to read this threaded comment; however, any edits to it will get removed if the file is opened in a newer version of Excel. Learn more: https://go.microsoft.com/fwlink/?linkid=870924
Comment:
    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
      </text>
    </comment>
  </commentList>
</comments>
</file>

<file path=xl/sharedStrings.xml><?xml version="1.0" encoding="utf-8"?>
<sst xmlns="http://schemas.openxmlformats.org/spreadsheetml/2006/main" count="2692" uniqueCount="486">
  <si>
    <t>CASE STUDY INVESTIGATION GUIDE</t>
  </si>
  <si>
    <t>Follow the steps, document the evidence reviewed, and base the final disposition on the full activity pattern.</t>
  </si>
  <si>
    <t>INVESTIGATION OBJECTIVE</t>
  </si>
  <si>
    <t>Determine whether the alerted activity is consistent with the customer's KYC profile, trace the source and use of funds, provide supporting evidence, and document a clear disposition. If the activity is suspicious, complete the SAR Structured Form using the case narrative and supporting facts.</t>
  </si>
  <si>
    <t>STEP</t>
  </si>
  <si>
    <t>TAB</t>
  </si>
  <si>
    <t>REVIEW FOCUS</t>
  </si>
  <si>
    <t>ACTION / EXPECTED OUTPUT</t>
  </si>
  <si>
    <t>Party &amp; Accounts Details</t>
  </si>
  <si>
    <t>Customer and account KYC</t>
  </si>
  <si>
    <t>Review identity, address, occupation/employer, customer-since date, contact details, account ownership, status, and related cases. Note facts that are inconsistent with the activity.</t>
  </si>
  <si>
    <t>Accounts</t>
  </si>
  <si>
    <t>0 DOS and alerted accounts</t>
  </si>
  <si>
    <t>Identify the account showing 0 in '# of Alerted Events as O DOS' and distinguish it from the account(s) with alerted events. Record the number of alerted events for each account.</t>
  </si>
  <si>
    <t>Event Details</t>
  </si>
  <si>
    <t>Alerted transactions</t>
  </si>
  <si>
    <t>Each alerted event will describe the type, date, account, amount, and debit/credit direction. Use these details to locate the same activity in Transactions.</t>
  </si>
  <si>
    <t>Transactions</t>
  </si>
  <si>
    <t>Full transaction activity</t>
  </si>
  <si>
    <t>Locate every alerted transaction, then analyze all activity around it. Total and compare inflows and outflows; identify funding sources, recipients, timing, velocity, locations, transaction types, and activity inconsistent with KYC.</t>
  </si>
  <si>
    <t>Support_Docs</t>
  </si>
  <si>
    <t>Supporting documents</t>
  </si>
  <si>
    <t>If information is available in this tab, compare payor details, endorsements, transaction dates, amounts, and account information against transaction records. Identify and document any missing, inconsistent, or unsupported information.</t>
  </si>
  <si>
    <t>Open_Source_Research</t>
  </si>
  <si>
    <t>Research evidence</t>
  </si>
  <si>
    <t>Conduct relevant open-source research on parties, counterparties, locations, and entities. Insert clear screenshots that show the result and the source link so the evidence can be independently reviewed.</t>
  </si>
  <si>
    <t>Disposition &amp; Narrative</t>
  </si>
  <si>
    <t>Case conclusion</t>
  </si>
  <si>
    <t>Gather KYC information, alerted events, transaction flows, supporting documents, and research. Identify red flags, mitigating facts, unexplained activity and write a comprehensive narrative.Enter the complete case narrative in cell A1 only. Include who, what, when, where, why the activity is or is not suspicious, key amounts, accounts, counterparties, flow of funds, and the final disposition.</t>
  </si>
  <si>
    <t>SAR Structured Form</t>
  </si>
  <si>
    <t>SAR completion, if needed</t>
  </si>
  <si>
    <t>If the disposition requires a SAR, complete all applicable fields based on the suspicious activity and the narrative. Ensure dates, amounts, subjects, accounts, activity types, products, and payment mechanisms are consistent across the form.</t>
  </si>
  <si>
    <t>Case Study Questions</t>
  </si>
  <si>
    <t>Knowledge check</t>
  </si>
  <si>
    <t>After completing the investigation, answer the questions using the evidence in the workbook. Reconcile answers to the final narrative and disposition.</t>
  </si>
  <si>
    <t>FINAL QUALITY CHECK</t>
  </si>
  <si>
    <t>Before completion: reconcile alerted events to Transactions and Wire; confirm all relevant inflows and outflows were considered; retain readable support and research evidence; place the narrative only in 'Disposition &amp; Narrative'!A1; and complete the SAR form only when supported by the disposition.</t>
  </si>
  <si>
    <t>CUSTOMER INFORMATION</t>
  </si>
  <si>
    <t>BANK RELATIONSHIP INFORMATION</t>
  </si>
  <si>
    <t>Title/Address</t>
  </si>
  <si>
    <t>4821 Cedar Grove Lane</t>
  </si>
  <si>
    <t>Customer Since:</t>
  </si>
  <si>
    <t>Dallas, TX 75219</t>
  </si>
  <si>
    <t>Party ID:</t>
  </si>
  <si>
    <t>United States</t>
  </si>
  <si>
    <t>CONTACT INFORMATION</t>
  </si>
  <si>
    <t>Cell Phone:</t>
  </si>
  <si>
    <t>(214) 555-7813</t>
  </si>
  <si>
    <t>TIN/SSN:</t>
  </si>
  <si>
    <t>456-78-9012</t>
  </si>
  <si>
    <t>E-mail:</t>
  </si>
  <si>
    <t>dharris1985@@email.com</t>
  </si>
  <si>
    <t>Date of Birth:</t>
  </si>
  <si>
    <t>Occupation:</t>
  </si>
  <si>
    <t>Customer Service Representative</t>
  </si>
  <si>
    <t>Employer:</t>
  </si>
  <si>
    <t>Dallas Office Solutions LLC</t>
  </si>
  <si>
    <t>Type</t>
  </si>
  <si>
    <t>Status</t>
  </si>
  <si>
    <t>Open Date</t>
  </si>
  <si>
    <t>Close Date</t>
  </si>
  <si>
    <t>DDA</t>
  </si>
  <si>
    <t>Open</t>
  </si>
  <si>
    <t>SAV</t>
  </si>
  <si>
    <t>Related Cases</t>
  </si>
  <si>
    <t>None</t>
  </si>
  <si>
    <t>Account</t>
  </si>
  <si>
    <t>Account Type</t>
  </si>
  <si>
    <t>Account Number</t>
  </si>
  <si>
    <t>Account Owners</t>
  </si>
  <si>
    <t># of Alerted Events as O DOS</t>
  </si>
  <si>
    <t>Closed Date</t>
  </si>
  <si>
    <t>Personal</t>
  </si>
  <si>
    <t>Case Open Date</t>
  </si>
  <si>
    <t>Event</t>
  </si>
  <si>
    <t>Date</t>
  </si>
  <si>
    <t>Amount</t>
  </si>
  <si>
    <t>OTM P2P</t>
  </si>
  <si>
    <t>C</t>
  </si>
  <si>
    <t>P2P</t>
  </si>
  <si>
    <t>D</t>
  </si>
  <si>
    <t>Name</t>
  </si>
  <si>
    <t>P/B</t>
  </si>
  <si>
    <t>Daily Balance</t>
  </si>
  <si>
    <t>Credit</t>
  </si>
  <si>
    <t>Debit</t>
  </si>
  <si>
    <t>C/D</t>
  </si>
  <si>
    <t>Group</t>
  </si>
  <si>
    <t>Description</t>
  </si>
  <si>
    <t>Debit Card No.</t>
  </si>
  <si>
    <t>Check No</t>
  </si>
  <si>
    <t>City</t>
  </si>
  <si>
    <t>State</t>
  </si>
  <si>
    <t>Zip</t>
  </si>
  <si>
    <t>Branch Ref</t>
  </si>
  <si>
    <t>Teller Ref</t>
  </si>
  <si>
    <t>Terminal ID</t>
  </si>
  <si>
    <t>Local Time</t>
  </si>
  <si>
    <t>Post Date</t>
  </si>
  <si>
    <t>Sender Name</t>
  </si>
  <si>
    <t>Sender Bank</t>
  </si>
  <si>
    <t>Sender Account Number</t>
  </si>
  <si>
    <t>Recipient Name</t>
  </si>
  <si>
    <t>Recipient Bank</t>
  </si>
  <si>
    <t>Recipient Account</t>
  </si>
  <si>
    <t>Transaction Note</t>
  </si>
  <si>
    <t>Doug Harry Montgomenry</t>
  </si>
  <si>
    <t>P</t>
  </si>
  <si>
    <t xml:space="preserve">P2P  </t>
  </si>
  <si>
    <t>Untagged</t>
  </si>
  <si>
    <t>Zelle received</t>
  </si>
  <si>
    <t>Emily Chen</t>
  </si>
  <si>
    <t>Bank of America</t>
  </si>
  <si>
    <t>ZELLE-S-1003</t>
  </si>
  <si>
    <t>3478912057643</t>
  </si>
  <si>
    <t>Rent share</t>
  </si>
  <si>
    <t>Zelle sent</t>
  </si>
  <si>
    <t>Trevor King</t>
  </si>
  <si>
    <t>Wells Fargo</t>
  </si>
  <si>
    <t>ZELLE-R-3003</t>
  </si>
  <si>
    <t>Robert Williams</t>
  </si>
  <si>
    <t>ZELLE-S-1044</t>
  </si>
  <si>
    <t>Thanks</t>
  </si>
  <si>
    <t>Maria Hernandez</t>
  </si>
  <si>
    <t>ZELLE-S-1050</t>
  </si>
  <si>
    <t>Marcus Reed</t>
  </si>
  <si>
    <t>Chase</t>
  </si>
  <si>
    <t>ZELLE-R-3001</t>
  </si>
  <si>
    <t>Debit Card</t>
  </si>
  <si>
    <t>Neighborhood restaurant</t>
  </si>
  <si>
    <t>7512 6068 3976 4318</t>
  </si>
  <si>
    <t>Dallas</t>
  </si>
  <si>
    <t>TX</t>
  </si>
  <si>
    <t>POS-DAL-1801</t>
  </si>
  <si>
    <t/>
  </si>
  <si>
    <t>Cash</t>
  </si>
  <si>
    <t>Teller cash deposit</t>
  </si>
  <si>
    <t>TX-DAL-05</t>
  </si>
  <si>
    <t>TELLER08</t>
  </si>
  <si>
    <t>DEPOSITOR-08</t>
  </si>
  <si>
    <t>UNKNOWN</t>
  </si>
  <si>
    <t>Irving</t>
  </si>
  <si>
    <t>TX-IRV-02</t>
  </si>
  <si>
    <t>TELLER02</t>
  </si>
  <si>
    <t>DEPOSITOR-02</t>
  </si>
  <si>
    <t>Isabella Hall</t>
  </si>
  <si>
    <t>ZELLE-S-1057</t>
  </si>
  <si>
    <t>Plano</t>
  </si>
  <si>
    <t>TX-PLN-03</t>
  </si>
  <si>
    <t>TELLER07</t>
  </si>
  <si>
    <t>DEPOSITOR-03</t>
  </si>
  <si>
    <t>Andrew Walker</t>
  </si>
  <si>
    <t>Citibank</t>
  </si>
  <si>
    <t>ZELLE-S-1016</t>
  </si>
  <si>
    <t>Payment</t>
  </si>
  <si>
    <t>ZELLE-R-2003</t>
  </si>
  <si>
    <t>Jordan Price</t>
  </si>
  <si>
    <t>ZELLE-R-3004</t>
  </si>
  <si>
    <t>Patricia Garcia</t>
  </si>
  <si>
    <t>ZELLE-S-1069</t>
  </si>
  <si>
    <t>PNC Bank</t>
  </si>
  <si>
    <t>ZELLE-S-1029</t>
  </si>
  <si>
    <t>ACH</t>
  </si>
  <si>
    <t>Internet service</t>
  </si>
  <si>
    <t>AT&amp;T Internet</t>
  </si>
  <si>
    <t>UTIL-ATT</t>
  </si>
  <si>
    <t>Kroger</t>
  </si>
  <si>
    <t>POS-DAL-0203</t>
  </si>
  <si>
    <t>Alicia Gomez</t>
  </si>
  <si>
    <t>ZELLE-R-3002</t>
  </si>
  <si>
    <t>Matthew Rodriguez</t>
  </si>
  <si>
    <t>ZELLE-S-1034</t>
  </si>
  <si>
    <t>ZELLE-S-1063</t>
  </si>
  <si>
    <t>Walgreens</t>
  </si>
  <si>
    <t>POS-DAL-0216</t>
  </si>
  <si>
    <t>POS-DAL-1601</t>
  </si>
  <si>
    <t>Jessica Brown</t>
  </si>
  <si>
    <t>ZELLE-S-1045</t>
  </si>
  <si>
    <t>Shell Gas Station</t>
  </si>
  <si>
    <t>POS-DAL-0218</t>
  </si>
  <si>
    <t>Shell</t>
  </si>
  <si>
    <t>Payroll deposit</t>
  </si>
  <si>
    <t>PAYROLL-DSO-0223</t>
  </si>
  <si>
    <t>U.S. Bank</t>
  </si>
  <si>
    <t>ZELLE-S-1030</t>
  </si>
  <si>
    <t>James Taylor</t>
  </si>
  <si>
    <t>ZELLE-S-1068</t>
  </si>
  <si>
    <t xml:space="preserve">Cash </t>
  </si>
  <si>
    <t>ATM cash withdrawal</t>
  </si>
  <si>
    <t>ATM-DAL-14</t>
  </si>
  <si>
    <t>Cash withdrawal</t>
  </si>
  <si>
    <t>ZELLE-R-2002</t>
  </si>
  <si>
    <t>Local restaurant</t>
  </si>
  <si>
    <t>POS-DAL-2901</t>
  </si>
  <si>
    <t>Monthly rent</t>
  </si>
  <si>
    <t>Cedar Grove Apartments</t>
  </si>
  <si>
    <t>RENT-4821</t>
  </si>
  <si>
    <t>ZELLE-S-1014</t>
  </si>
  <si>
    <t>ZELLE-S-1017</t>
  </si>
  <si>
    <t>David Garcia</t>
  </si>
  <si>
    <t>ZELLE-S-1042</t>
  </si>
  <si>
    <t>Daniel Harris</t>
  </si>
  <si>
    <t>ZELLE-S-1052</t>
  </si>
  <si>
    <t>Internal Transfer</t>
  </si>
  <si>
    <t>Transfer to savings 6184</t>
  </si>
  <si>
    <t>8514029736184</t>
  </si>
  <si>
    <t>ZELLE-R-2001</t>
  </si>
  <si>
    <t>Fort Worth</t>
  </si>
  <si>
    <t>TX-FTW-01</t>
  </si>
  <si>
    <t>TELLER03</t>
  </si>
  <si>
    <t>DEPOSITOR-04</t>
  </si>
  <si>
    <t>ZELLE-S-1009</t>
  </si>
  <si>
    <t>Auto insurance</t>
  </si>
  <si>
    <t>State Farm</t>
  </si>
  <si>
    <t>INS-SF</t>
  </si>
  <si>
    <t>CVS Pharmacy</t>
  </si>
  <si>
    <t>POS-DAL-2101</t>
  </si>
  <si>
    <t>Mia Young</t>
  </si>
  <si>
    <t>ZELLE-S-1039</t>
  </si>
  <si>
    <t>Vanessa Cole</t>
  </si>
  <si>
    <t>ZELLE-R-3005</t>
  </si>
  <si>
    <t>Chris Jones</t>
  </si>
  <si>
    <t>ZELLE-S-1066</t>
  </si>
  <si>
    <t>Walmart</t>
  </si>
  <si>
    <t>POS-DAL-0212</t>
  </si>
  <si>
    <t>Sarah Miller</t>
  </si>
  <si>
    <t>ZELLE-S-1041</t>
  </si>
  <si>
    <t>Richardson</t>
  </si>
  <si>
    <t>TX-RIC-02</t>
  </si>
  <si>
    <t>TELLER06</t>
  </si>
  <si>
    <t>DEPOSITOR-07</t>
  </si>
  <si>
    <t>PAYROLL-DSO-0209</t>
  </si>
  <si>
    <t>ZELLE-S-1056</t>
  </si>
  <si>
    <t>ATM-DAL-28</t>
  </si>
  <si>
    <t>ZELLE-S-1061</t>
  </si>
  <si>
    <t>ZELLE-S-1021</t>
  </si>
  <si>
    <t>POS-DAL-0221</t>
  </si>
  <si>
    <t>Garland</t>
  </si>
  <si>
    <t>TX-GAR-01</t>
  </si>
  <si>
    <t>TELLER01</t>
  </si>
  <si>
    <t>DEPOSITOR-06</t>
  </si>
  <si>
    <t>Tom Thumb</t>
  </si>
  <si>
    <t>Target</t>
  </si>
  <si>
    <t>POS-DAL-2701</t>
  </si>
  <si>
    <t>ZELLE-S-1048</t>
  </si>
  <si>
    <t>Sophia Lewis</t>
  </si>
  <si>
    <t>ZELLE-S-1055</t>
  </si>
  <si>
    <t>Mobile phone bill</t>
  </si>
  <si>
    <t>T-Mobile</t>
  </si>
  <si>
    <t>UTIL-TMO</t>
  </si>
  <si>
    <t>POS-DAL-0228</t>
  </si>
  <si>
    <t>POS-DAL-0207</t>
  </si>
  <si>
    <t>ZELLE-S-1065</t>
  </si>
  <si>
    <t>Coffee shop</t>
  </si>
  <si>
    <t>POS-DAL-2601</t>
  </si>
  <si>
    <t>Alexander King</t>
  </si>
  <si>
    <t>ZELLE-S-1060</t>
  </si>
  <si>
    <t>ZELLE-S-1062</t>
  </si>
  <si>
    <t>ZELLE-S-1006</t>
  </si>
  <si>
    <t>Amanda White</t>
  </si>
  <si>
    <t>ZELLE-S-1011</t>
  </si>
  <si>
    <t>ZELLE-S-1008</t>
  </si>
  <si>
    <t>ZELLE-S-1019</t>
  </si>
  <si>
    <t>ZELLE-S-1043</t>
  </si>
  <si>
    <t>ATM-DAL-0213</t>
  </si>
  <si>
    <t>TX-DAL-01</t>
  </si>
  <si>
    <t>TELLER04</t>
  </si>
  <si>
    <t>DEPOSITOR-01</t>
  </si>
  <si>
    <t>Linda Martinez</t>
  </si>
  <si>
    <t>ZELLE-S-1067</t>
  </si>
  <si>
    <t>POS-DAL-0205</t>
  </si>
  <si>
    <t>POS-DAL-0214B</t>
  </si>
  <si>
    <t>Exxon</t>
  </si>
  <si>
    <t>POS-DAL-0224</t>
  </si>
  <si>
    <t>ATM-DAL-0226</t>
  </si>
  <si>
    <t>Joseph Allen</t>
  </si>
  <si>
    <t>ZELLE-S-1058</t>
  </si>
  <si>
    <t>PAYROLL-DSO-1229</t>
  </si>
  <si>
    <t>Streaming subscription</t>
  </si>
  <si>
    <t>Netflix</t>
  </si>
  <si>
    <t>SUB-NFLX</t>
  </si>
  <si>
    <t>POS-DAL-0225</t>
  </si>
  <si>
    <t>ZELLE-S-1036</t>
  </si>
  <si>
    <t>ZELLE-S-1002</t>
  </si>
  <si>
    <t>POS-DAL-0222</t>
  </si>
  <si>
    <t>Olivia Clark</t>
  </si>
  <si>
    <t>ZELLE-S-1013</t>
  </si>
  <si>
    <t>POS-DAL-0208</t>
  </si>
  <si>
    <t>ZELLE-S-1038</t>
  </si>
  <si>
    <t>ZELLE-S-1049</t>
  </si>
  <si>
    <t>ZELLE-S-1053</t>
  </si>
  <si>
    <t>POS-DAL-0303</t>
  </si>
  <si>
    <t>POS-DAL-3001</t>
  </si>
  <si>
    <t>Electric utility</t>
  </si>
  <si>
    <t>TXU Energy</t>
  </si>
  <si>
    <t>JPMorgan Chase</t>
  </si>
  <si>
    <t>UTIL-TXU</t>
  </si>
  <si>
    <t>ZELLE-S-1010</t>
  </si>
  <si>
    <t>ZELLE-S-1015</t>
  </si>
  <si>
    <t>ZELLE-S-1024</t>
  </si>
  <si>
    <t>ZELLE-S-1047</t>
  </si>
  <si>
    <t>ZELLE-S-1031</t>
  </si>
  <si>
    <t>ZELLE-S-1051</t>
  </si>
  <si>
    <t>ZELLE-S-1037</t>
  </si>
  <si>
    <t>POS-DAL-2401</t>
  </si>
  <si>
    <t>PAYROLL-DSO-0112</t>
  </si>
  <si>
    <t>ZELLE-S-1001</t>
  </si>
  <si>
    <t>POS-DAL-1701</t>
  </si>
  <si>
    <t>POS-DAL-2301</t>
  </si>
  <si>
    <t>ZELLE-S-1012</t>
  </si>
  <si>
    <t>ZELLE-S-1027</t>
  </si>
  <si>
    <t>POS-DAL-0220</t>
  </si>
  <si>
    <t>ZELLE-S-1026</t>
  </si>
  <si>
    <t>ZELLE-S-1018</t>
  </si>
  <si>
    <t>ZELLE-S-1054</t>
  </si>
  <si>
    <t>POS-DAL-0217</t>
  </si>
  <si>
    <t>POS-DAL-0227</t>
  </si>
  <si>
    <t>ZELLE-S-1033</t>
  </si>
  <si>
    <t>POS-DAL-0219</t>
  </si>
  <si>
    <t>Arlington</t>
  </si>
  <si>
    <t>TX-ARL-02</t>
  </si>
  <si>
    <t>TELLER05</t>
  </si>
  <si>
    <t>DEPOSITOR-05</t>
  </si>
  <si>
    <t>ZELLE-S-1046</t>
  </si>
  <si>
    <t>ZELLE-S-1040</t>
  </si>
  <si>
    <t>PAYROLL-DSO-0126</t>
  </si>
  <si>
    <t>ZELLE-S-1004</t>
  </si>
  <si>
    <t>ZELLE-S-1032</t>
  </si>
  <si>
    <t>POS-DAL-0206</t>
  </si>
  <si>
    <t>POS-DAL-0204</t>
  </si>
  <si>
    <t>ZELLE-S-1023</t>
  </si>
  <si>
    <t>ZELLE-S-1025</t>
  </si>
  <si>
    <t>ZELLE-S-1035</t>
  </si>
  <si>
    <t>ZELLE-S-1007</t>
  </si>
  <si>
    <t>ZELLE-S-1059</t>
  </si>
  <si>
    <t>ZELLE-S-1020</t>
  </si>
  <si>
    <t>POS-DAL-0211</t>
  </si>
  <si>
    <t>ZELLE-S-1064</t>
  </si>
  <si>
    <t>ZELLE-S-1022</t>
  </si>
  <si>
    <t>ZELLE-S-1005</t>
  </si>
  <si>
    <t>ZELLE-S-1028</t>
  </si>
  <si>
    <t>POS-DAL-0214</t>
  </si>
  <si>
    <t>Instruction: insert screenshots that clearly display the links used in your open source research.</t>
  </si>
  <si>
    <t>Please fill in applicable fields based on the SAR Narrative drafted.  Some additional comments and/or guidance is available in the comments fields.</t>
  </si>
  <si>
    <t>Events</t>
  </si>
  <si>
    <t>Report on Following RFI</t>
  </si>
  <si>
    <t>Suspect(s)</t>
  </si>
  <si>
    <t>Report on the following Account(s)</t>
  </si>
  <si>
    <t>Select Branch Information</t>
  </si>
  <si>
    <t>Branch Name</t>
  </si>
  <si>
    <t xml:space="preserve">City </t>
  </si>
  <si>
    <t>Part II Suspicious Activity Information</t>
  </si>
  <si>
    <t>29 Amount Involved in this report $</t>
  </si>
  <si>
    <t xml:space="preserve">30 Date or date range of suspicious activity for this report </t>
  </si>
  <si>
    <t>From</t>
  </si>
  <si>
    <t>To</t>
  </si>
  <si>
    <t xml:space="preserve">31 Cumulative amount (only applicable with “continuing activity report is checked) </t>
  </si>
  <si>
    <t>32 Structuring</t>
  </si>
  <si>
    <t>a.  Alters or cancels transaction to avoid BSA record keeping</t>
  </si>
  <si>
    <t>d. Transaction(s) below BSA recordkeeping threshold</t>
  </si>
  <si>
    <t>b. Alters or cancels transaction to avoid CTR requirement</t>
  </si>
  <si>
    <t>e. Transaction(s) below CTR threshold</t>
  </si>
  <si>
    <t>c. Suspicious inquiry by customer regarding BSA reporting or record keeping requirements</t>
  </si>
  <si>
    <t>z. Other</t>
  </si>
  <si>
    <t>36 Money Laundering</t>
  </si>
  <si>
    <t>a. Exchange small bills for large bills or vice versa</t>
  </si>
  <si>
    <t>h. Suspicious receipt of government payments/benefits</t>
  </si>
  <si>
    <t>b.  Funnel account</t>
  </si>
  <si>
    <t>i. Suspicious use of multiple accounts</t>
  </si>
  <si>
    <t>c. Suspicion concerning the physical condition of funds</t>
  </si>
  <si>
    <t>j. Suspicious use of noncash monetary instruments</t>
  </si>
  <si>
    <t>d. Suspicious concerning the source of funds</t>
  </si>
  <si>
    <t>k. Suspicious use of third party transactors (straw-man)</t>
  </si>
  <si>
    <t>e. Suspicious designation of beneficiaries, assignees or joint owners</t>
  </si>
  <si>
    <t>l. Trade Based Money Laundering/ Black Market Peso Exchange</t>
  </si>
  <si>
    <t>f.  Suspicious EFT/wire transfers</t>
  </si>
  <si>
    <t>m. Transaction out of pattern for customer(s)</t>
  </si>
  <si>
    <t>g.  Suspicious exchange of currencies</t>
  </si>
  <si>
    <t>38 Other Suspicious Activities</t>
  </si>
  <si>
    <t>a.  Account Takeover</t>
  </si>
  <si>
    <t>k. Misuse of position or self-dealing</t>
  </si>
  <si>
    <t>q.  Transaction(s) involving foreign high-risk jurisdiction</t>
  </si>
  <si>
    <t>b.  Bribery or gratuity</t>
  </si>
  <si>
    <t>l.  Suspected public/private corruption(domestic)</t>
  </si>
  <si>
    <t>r.  Two or more individuals working together</t>
  </si>
  <si>
    <t>c. Counterfeit instruments</t>
  </si>
  <si>
    <t>m.  Suspected public/private corruption (foreign)</t>
  </si>
  <si>
    <t>s.  Unlicensed or unregistered MSB</t>
  </si>
  <si>
    <t>d. Elder financial exploitation</t>
  </si>
  <si>
    <t xml:space="preserve">n.  Suspicious use of informal value transfer system </t>
  </si>
  <si>
    <t>z.  Other</t>
  </si>
  <si>
    <t>e.. Embezzlement/theft</t>
  </si>
  <si>
    <t>o.  Suspicious use of multiple transaction location</t>
  </si>
  <si>
    <t>f.  Forgeries</t>
  </si>
  <si>
    <t>p. Transaction with no apparent economic business or lawful purpose</t>
  </si>
  <si>
    <t>g.  Human smuggling</t>
  </si>
  <si>
    <t>h.  Human trafficking</t>
  </si>
  <si>
    <t>i.  Identity theft</t>
  </si>
  <si>
    <t>j. Little or no concern for product performance penalties, fees, or taxes</t>
  </si>
  <si>
    <t>45 Were any of the following product type(s) involved in the suspicious activity (Check all that apply)</t>
  </si>
  <si>
    <t>a. Bonds/Notes</t>
  </si>
  <si>
    <t>i. Hedge fund</t>
  </si>
  <si>
    <t>q. Residential mortgage</t>
  </si>
  <si>
    <t>b. Commercial Mortgage</t>
  </si>
  <si>
    <t>j.  Home equity line of credit</t>
  </si>
  <si>
    <t>r. Security futures products</t>
  </si>
  <si>
    <t>c. Commercial paper</t>
  </si>
  <si>
    <t>k. Home equity loan</t>
  </si>
  <si>
    <t>s. Stocks</t>
  </si>
  <si>
    <t>d. Credit Card</t>
  </si>
  <si>
    <t>l. Insurance/Annuity products</t>
  </si>
  <si>
    <t>t. Swap, hybrid, or other derivatives</t>
  </si>
  <si>
    <t>e. Debit Card</t>
  </si>
  <si>
    <t>m. Microcap securities</t>
  </si>
  <si>
    <t xml:space="preserve">z. Other (List Below) </t>
  </si>
  <si>
    <t>f. Deposit Account</t>
  </si>
  <si>
    <t>n. Mutual Fund</t>
  </si>
  <si>
    <t>g. Forex transactions</t>
  </si>
  <si>
    <t>o. Options on securities</t>
  </si>
  <si>
    <t>h. Futures/Options on futures</t>
  </si>
  <si>
    <t>p.  Prepaid access</t>
  </si>
  <si>
    <t>46 Were any of the following instrument types(s)/payment mechanism(s) involved in the suspicious activity (Check all that apply)</t>
  </si>
  <si>
    <t>a. Bank/Cashier’s check</t>
  </si>
  <si>
    <t>d. Gaming Instruments</t>
  </si>
  <si>
    <t>g.  Personal/Business check</t>
  </si>
  <si>
    <t>b. Foreign currency</t>
  </si>
  <si>
    <t>e. Government payment</t>
  </si>
  <si>
    <t>h.  Travelers checks</t>
  </si>
  <si>
    <t>c. Funds Transfer</t>
  </si>
  <si>
    <t>f. Money Orders</t>
  </si>
  <si>
    <t xml:space="preserve">i.   US Currency </t>
  </si>
  <si>
    <t>CASE STUDY QUESTIONNAIRE</t>
  </si>
  <si>
    <t>Select one answer for each question by choosing X in column A. Questions require reconciliation of the Disposition &amp; Narrative and SAR Structured Form.</t>
  </si>
  <si>
    <t>SELECT</t>
  </si>
  <si>
    <t>OPTION</t>
  </si>
  <si>
    <t>ANSWER</t>
  </si>
  <si>
    <t>1. How is the suspicious activity amount of $141,788.37 reconciled in the narrative?</t>
  </si>
  <si>
    <t>A</t>
  </si>
  <si>
    <t>$12,250.00 payroll + $66,638.37 outgoing P2P + $62,900.00 cash deposits</t>
  </si>
  <si>
    <t>B</t>
  </si>
  <si>
    <t>$27,800.00 cash deposits + $47,350.00 incoming P2P + $66,638.37 outgoing P2P</t>
  </si>
  <si>
    <t>$75,150.00 total credits + $66,638.37 total account debits</t>
  </si>
  <si>
    <t>2. Which fact most strongly distinguishes the activity from normal personal-account use?</t>
  </si>
  <si>
    <t>Monthly payroll deposits from the stated employer</t>
  </si>
  <si>
    <t>Routine rent, utility, and grocery payments</t>
  </si>
  <si>
    <t>Cash deposits across seven cities and P2P receipts from many unrelated parties</t>
  </si>
  <si>
    <t>Transfers from the DDA to the customer’s savings account</t>
  </si>
  <si>
    <t>3. Which statement correctly reconciles the alerted events to the customer’s accounts?</t>
  </si>
  <si>
    <t>The savings account ending 6184 had 15 alerted events; the DDA had none</t>
  </si>
  <si>
    <t>The DDA ending 7643 had 15 alerted events; the savings account ending 6184 had none</t>
  </si>
  <si>
    <t>Both accounts had alerted events because funds moved between them</t>
  </si>
  <si>
    <t>4. Which recipient concentration most strongly supports the narrative’s risk assessment?</t>
  </si>
  <si>
    <t>Jordan Price and Vanessa Cole received $54,019.22</t>
  </si>
  <si>
    <t>All five recipients received equal amounts, indicating no concentration</t>
  </si>
  <si>
    <t>Alicia Gomez, Marcus Reed, and Trevor King received $54,019.22</t>
  </si>
  <si>
    <t>5. Which finding most strongly supports possible layering of funds?</t>
  </si>
  <si>
    <t>Five payroll credits from the customer’s employer</t>
  </si>
  <si>
    <t>Recurring consumer purchases in the Dallas area</t>
  </si>
  <si>
    <t>Both customer accounts remained open during the review</t>
  </si>
  <si>
    <t>Cash deposits and P2P inflows followed by concentrated P2P payments to five recipients</t>
  </si>
  <si>
    <t>6. Which SAR product and payment-mechanism selections best match the reported activity?</t>
  </si>
  <si>
    <t>Credit card; foreign currency; cashier’s checks</t>
  </si>
  <si>
    <t>Deposit account; funds transfer/P2P; U.S. currency</t>
  </si>
  <si>
    <t>Residential mortgage; personal checks; money orders</t>
  </si>
  <si>
    <t>Securities account; prepaid access; travelers checks</t>
  </si>
  <si>
    <t>7. Which facts provide mitigation but do not adequately explain the suspicious activity?</t>
  </si>
  <si>
    <t>The use of five recipient banks and seven deposit cities</t>
  </si>
  <si>
    <t>Blank or vague P2P notes and unidentified cash depositors</t>
  </si>
  <si>
    <t>Monthly payroll from Dallas Office Solutions LLC and ordinary consumer expenses</t>
  </si>
  <si>
    <t>The concentration of outgoing P2P funds among three recipients</t>
  </si>
  <si>
    <t>8. Which unresolved issue is most important to the final SAR decision?</t>
  </si>
  <si>
    <t>The customer used several local grocery and fuel merchants</t>
  </si>
  <si>
    <t>The savings account opened after the DDA</t>
  </si>
  <si>
    <t>The customer received payroll from the listed employer</t>
  </si>
  <si>
    <t>The source of cash and the purpose of P2P transfers remain unsupported</t>
  </si>
  <si>
    <t>9. What amount should be entered in SAR field 29?</t>
  </si>
  <si>
    <t>10. Which location entry and SAR checkbox best match the cash-deposits?</t>
  </si>
  <si>
    <t>List Dallas, TX only; select “Transaction involving a foreign high-risk jurisdiction”</t>
  </si>
  <si>
    <t>List Dallas, Irving, Plano, Fort Worth, Richardson, Garland, and Arlington, TX; select “Suspicious use of multiple transaction locations”</t>
  </si>
  <si>
    <t>List Dallas, Irving, Plano, Fort Worth, Richardson, Garland, and Arlington, TX; select “Suspicious EFT/wire transfers”</t>
  </si>
  <si>
    <t>List the customer’s home address only; select “Suspicious use of multiple transaction locations”</t>
  </si>
  <si>
    <r>
      <t xml:space="preserve">• </t>
    </r>
    <r>
      <rPr>
        <b/>
        <sz val="11"/>
        <color theme="1"/>
        <rFont val="Calibri"/>
        <family val="2"/>
      </rPr>
      <t xml:space="preserve">The Trigger: </t>
    </r>
    <r>
      <rPr>
        <sz val="11"/>
        <color theme="1"/>
        <rFont val="Calibri"/>
        <family val="2"/>
      </rPr>
      <t>The case was flagged for 15 out-of-pattern P2P events on the DDA ending 7643. The savings account ending 6184 had no alerted events.</t>
    </r>
  </si>
  <si>
    <r>
      <t xml:space="preserve">Who is Doug Harry Montgomery? </t>
    </r>
    <r>
      <rPr>
        <sz val="11"/>
        <color theme="1"/>
        <rFont val="Calibri"/>
        <family val="2"/>
      </rPr>
      <t>A 40-year-old customer in Dallas, Texas, listed as a Customer Service Representative employed by Dallas Office Solutions LLC.</t>
    </r>
  </si>
  <si>
    <t xml:space="preserve">Doug Harry Montgomery </t>
  </si>
  <si>
    <t>Not Required for this case Study</t>
  </si>
  <si>
    <t>Doug Harry Montgomery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</si>
</sst>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8" formatCode="&quot;$&quot;#,##0.00_);[Red]\(&quot;$&quot;#,##0.00\)"/>
    <numFmt numFmtId="43" formatCode="_(* #,##0.00_);_(* \(#,##0.00\);_(* &quot;-&quot;??_);_(@_)"/>
    <numFmt numFmtId="164" formatCode="&quot;$&quot;#,##0.00"/>
    <numFmt numFmtId="165" formatCode="0.00_);[Red]\(0.00\)"/>
    <numFmt numFmtId="166" formatCode="#,##0.00;[Red]\(#,##0.00\)"/>
    <numFmt numFmtId="167" formatCode="&quot;$&quot;#,##0.00;[Red]\(&quot;$&quot;#,##0.00\);\-"/>
  </numFmts>
  <fonts count="33" x14ac:knownFonts="1">
    <font>
      <sz val="11"/>
      <color theme="1"/>
      <name val="Aptos Narrow"/>
      <family val="2"/>
      <scheme val="minor"/>
    </font>
    <font>
      <sz val="11"/>
      <color theme="1"/>
      <name val="Aptos Narrow"/>
      <family val="2"/>
      <scheme val="minor"/>
    </font>
    <font>
      <b/>
      <sz val="11"/>
      <color theme="0"/>
      <name val="Aptos Narrow"/>
      <family val="2"/>
      <scheme val="minor"/>
    </font>
    <font>
      <b/>
      <sz val="14"/>
      <color theme="0"/>
      <name val="Aptos Narrow"/>
      <family val="2"/>
      <scheme val="minor"/>
    </font>
    <font>
      <b/>
      <sz val="12"/>
      <name val="Aptos Narrow"/>
      <family val="2"/>
      <scheme val="minor"/>
    </font>
    <font>
      <sz val="12"/>
      <color theme="1"/>
      <name val="Aptos Narrow"/>
      <family val="2"/>
      <scheme val="minor"/>
    </font>
    <font>
      <sz val="14"/>
      <name val="Aptos Narrow"/>
      <family val="2"/>
      <scheme val="minor"/>
    </font>
    <font>
      <b/>
      <sz val="12"/>
      <color theme="0"/>
      <name val="Aptos Narrow"/>
      <family val="2"/>
      <scheme val="minor"/>
    </font>
    <font>
      <sz val="10"/>
      <color theme="1"/>
      <name val="Arial"/>
      <family val="2"/>
    </font>
    <font>
      <sz val="12"/>
      <color theme="1"/>
      <name val="Arial"/>
      <family val="2"/>
    </font>
    <font>
      <sz val="11"/>
      <color theme="1"/>
      <name val="Arial"/>
      <family val="2"/>
    </font>
    <font>
      <sz val="9"/>
      <color theme="1"/>
      <name val="Arial"/>
      <family val="2"/>
    </font>
    <font>
      <b/>
      <sz val="16"/>
      <color rgb="FFC00000"/>
      <name val="Aptos Narrow"/>
      <family val="2"/>
      <scheme val="minor"/>
    </font>
    <font>
      <u/>
      <sz val="11"/>
      <color theme="10"/>
      <name val="Aptos Narrow"/>
      <family val="2"/>
      <scheme val="minor"/>
    </font>
    <font>
      <sz val="7"/>
      <color theme="1"/>
      <name val="Segoe UI"/>
      <family val="2"/>
    </font>
    <font>
      <sz val="8"/>
      <name val="Aptos Narrow"/>
      <family val="2"/>
      <scheme val="minor"/>
    </font>
    <font>
      <b/>
      <sz val="11"/>
      <color theme="1"/>
      <name val="Aptos Narrow"/>
      <family val="2"/>
      <scheme val="minor"/>
    </font>
    <font>
      <b/>
      <sz val="11"/>
      <color rgb="FFFFFFFF"/>
      <name val="Aptos Narrow"/>
      <family val="2"/>
      <scheme val="minor"/>
    </font>
    <font>
      <b/>
      <sz val="18"/>
      <color rgb="FFFFFFFF"/>
      <name val="Aptos Narrow"/>
      <family val="2"/>
      <scheme val="minor"/>
    </font>
    <font>
      <i/>
      <sz val="10"/>
      <color rgb="FF666666"/>
      <name val="Aptos Narrow"/>
      <family val="2"/>
      <scheme val="minor"/>
    </font>
    <font>
      <b/>
      <sz val="12"/>
      <color rgb="FFFFFFFF"/>
      <name val="Aptos Narrow"/>
      <family val="2"/>
      <scheme val="minor"/>
    </font>
    <font>
      <sz val="11"/>
      <color rgb="FF333333"/>
      <name val="Aptos Narrow"/>
      <family val="2"/>
      <scheme val="minor"/>
    </font>
    <font>
      <b/>
      <sz val="11"/>
      <color rgb="FF1F4E78"/>
      <name val="Aptos Narrow"/>
      <family val="2"/>
      <scheme val="minor"/>
    </font>
    <font>
      <b/>
      <sz val="11"/>
      <color rgb="FF7F6000"/>
      <name val="Aptos Narrow"/>
      <family val="2"/>
      <scheme val="minor"/>
    </font>
    <font>
      <b/>
      <sz val="18"/>
      <color rgb="FFFFFFFF"/>
      <name val="Aptos"/>
      <family val="2"/>
    </font>
    <font>
      <i/>
      <sz val="11"/>
      <color rgb="FF666666"/>
      <name val="Aptos"/>
      <family val="2"/>
    </font>
    <font>
      <sz val="11"/>
      <color theme="1"/>
      <name val="Aptos"/>
      <family val="2"/>
    </font>
    <font>
      <b/>
      <sz val="11"/>
      <color rgb="FFFFFFFF"/>
      <name val="Aptos"/>
      <family val="2"/>
    </font>
    <font>
      <b/>
      <sz val="11"/>
      <color rgb="FF17365D"/>
      <name val="Aptos"/>
      <family val="2"/>
    </font>
    <font>
      <b/>
      <sz val="12"/>
      <color rgb="FF17365D"/>
      <name val="Aptos"/>
      <family val="2"/>
    </font>
    <font>
      <sz val="11"/>
      <color rgb="FF000000"/>
      <name val="Aptos"/>
      <family val="2"/>
    </font>
    <font>
      <sz val="11"/>
      <color theme="1"/>
      <name val="Calibri"/>
      <family val="2"/>
    </font>
    <font>
      <b/>
      <sz val="11"/>
      <color theme="1"/>
      <name val="Calibri"/>
      <family val="2"/>
    </font>
  </fonts>
  <fills count="17">
    <fill>
      <patternFill patternType="none"/>
    </fill>
    <fill>
      <patternFill patternType="gray125"/>
    </fill>
    <fill>
      <patternFill patternType="solid">
        <fgColor theme="4" tint="-0.24994659260841701"/>
        <bgColor theme="1"/>
      </patternFill>
    </fill>
    <fill>
      <patternFill patternType="solid">
        <fgColor theme="4"/>
        <bgColor indexed="64"/>
      </patternFill>
    </fill>
    <fill>
      <patternFill patternType="solid">
        <fgColor rgb="FF0070C0"/>
        <bgColor indexed="64"/>
      </patternFill>
    </fill>
    <fill>
      <patternFill patternType="solid">
        <fgColor rgb="FF17365D"/>
        <bgColor indexed="64"/>
      </patternFill>
    </fill>
    <fill>
      <patternFill patternType="solid">
        <fgColor rgb="FF2F75B5"/>
        <bgColor indexed="64"/>
      </patternFill>
    </fill>
    <fill>
      <patternFill patternType="solid">
        <fgColor rgb="FFEAF2F8"/>
        <bgColor indexed="64"/>
      </patternFill>
    </fill>
    <fill>
      <patternFill patternType="solid">
        <fgColor rgb="FF1F4E78"/>
        <bgColor indexed="64"/>
      </patternFill>
    </fill>
    <fill>
      <patternFill patternType="solid">
        <fgColor rgb="FFF3F6F9"/>
        <bgColor indexed="64"/>
      </patternFill>
    </fill>
    <fill>
      <patternFill patternType="solid">
        <fgColor rgb="FFFFF2CC"/>
        <bgColor indexed="64"/>
      </patternFill>
    </fill>
    <fill>
      <patternFill patternType="solid">
        <fgColor rgb="FFD9EAF7"/>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rgb="FFEB8325"/>
        <bgColor indexed="64"/>
      </patternFill>
    </fill>
    <fill>
      <patternFill patternType="solid">
        <fgColor theme="5" tint="0.79998168889431442"/>
        <bgColor indexed="64"/>
      </patternFill>
    </fill>
  </fills>
  <borders count="37">
    <border>
      <left/>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thin">
        <color indexed="64"/>
      </bottom>
      <diagonal/>
    </border>
    <border>
      <left style="medium">
        <color indexed="64"/>
      </left>
      <right/>
      <top/>
      <bottom/>
      <diagonal/>
    </border>
    <border>
      <left/>
      <right style="medium">
        <color indexed="64"/>
      </right>
      <top/>
      <bottom/>
      <diagonal/>
    </border>
    <border>
      <left style="thin">
        <color theme="0"/>
      </left>
      <right style="thin">
        <color theme="0"/>
      </right>
      <top style="medium">
        <color indexed="64"/>
      </top>
      <bottom/>
      <diagonal/>
    </border>
    <border>
      <left style="thin">
        <color theme="0"/>
      </left>
      <right style="medium">
        <color indexed="64"/>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rgb="FF9EADBA"/>
      </left>
      <right style="thin">
        <color rgb="FFD9E2F3"/>
      </right>
      <top style="thin">
        <color rgb="FF9EADBA"/>
      </top>
      <bottom style="thin">
        <color rgb="FFD9E2F3"/>
      </bottom>
      <diagonal/>
    </border>
    <border>
      <left style="thin">
        <color rgb="FFD9E2F3"/>
      </left>
      <right style="thin">
        <color rgb="FFD9E2F3"/>
      </right>
      <top style="thin">
        <color rgb="FF9EADBA"/>
      </top>
      <bottom style="thin">
        <color rgb="FFD9E2F3"/>
      </bottom>
      <diagonal/>
    </border>
    <border>
      <left style="thin">
        <color rgb="FFD9E2F3"/>
      </left>
      <right style="thin">
        <color rgb="FF9EADBA"/>
      </right>
      <top style="thin">
        <color rgb="FF9EADBA"/>
      </top>
      <bottom style="thin">
        <color rgb="FFD9E2F3"/>
      </bottom>
      <diagonal/>
    </border>
    <border>
      <left style="thin">
        <color rgb="FF9EADBA"/>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style="thin">
        <color rgb="FF9EADBA"/>
      </right>
      <top style="thin">
        <color rgb="FFD9E2F3"/>
      </top>
      <bottom style="thin">
        <color rgb="FFD9E2F3"/>
      </bottom>
      <diagonal/>
    </border>
    <border>
      <left style="thin">
        <color rgb="FF9EADBA"/>
      </left>
      <right style="thin">
        <color rgb="FFD9E2F3"/>
      </right>
      <top style="thin">
        <color rgb="FFD9E2F3"/>
      </top>
      <bottom style="thin">
        <color rgb="FF9EADBA"/>
      </bottom>
      <diagonal/>
    </border>
    <border>
      <left style="thin">
        <color rgb="FFD9E2F3"/>
      </left>
      <right style="thin">
        <color rgb="FFD9E2F3"/>
      </right>
      <top style="thin">
        <color rgb="FFD9E2F3"/>
      </top>
      <bottom style="thin">
        <color rgb="FF9EADBA"/>
      </bottom>
      <diagonal/>
    </border>
    <border>
      <left style="thin">
        <color rgb="FFD9E2F3"/>
      </left>
      <right style="thin">
        <color rgb="FF9EADBA"/>
      </right>
      <top style="thin">
        <color rgb="FFD9E2F3"/>
      </top>
      <bottom style="thin">
        <color rgb="FF9EADBA"/>
      </bottom>
      <diagonal/>
    </border>
  </borders>
  <cellStyleXfs count="3">
    <xf numFmtId="0" fontId="0" fillId="0" borderId="0"/>
    <xf numFmtId="43" fontId="1" fillId="0" borderId="0" applyFont="0" applyFill="0" applyBorder="0" applyAlignment="0" applyProtection="0"/>
    <xf numFmtId="0" fontId="13" fillId="0" borderId="0" applyNumberFormat="0" applyFill="0" applyBorder="0" applyAlignment="0" applyProtection="0"/>
  </cellStyleXfs>
  <cellXfs count="163">
    <xf numFmtId="0" fontId="0" fillId="0" borderId="0" xfId="0"/>
    <xf numFmtId="14" fontId="0" fillId="0" borderId="0" xfId="0" applyNumberFormat="1"/>
    <xf numFmtId="0" fontId="3"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0" xfId="0" applyFont="1" applyAlignment="1">
      <alignment horizontal="left" vertical="top"/>
    </xf>
    <xf numFmtId="0" fontId="2" fillId="3" borderId="0" xfId="0" applyFont="1" applyFill="1" applyAlignment="1">
      <alignment horizontal="left" vertical="top" wrapText="1"/>
    </xf>
    <xf numFmtId="0" fontId="7" fillId="3" borderId="0" xfId="0" applyFont="1" applyFill="1" applyAlignment="1">
      <alignment horizontal="left" vertical="top"/>
    </xf>
    <xf numFmtId="0" fontId="3" fillId="3" borderId="0" xfId="0" applyFont="1" applyFill="1" applyAlignment="1">
      <alignment horizontal="center" vertical="center" wrapText="1"/>
    </xf>
    <xf numFmtId="0" fontId="0" fillId="0" borderId="9" xfId="0" applyBorder="1"/>
    <xf numFmtId="0" fontId="8" fillId="0" borderId="15" xfId="0" applyFont="1" applyBorder="1" applyAlignment="1">
      <alignment vertical="center"/>
    </xf>
    <xf numFmtId="0" fontId="0" fillId="0" borderId="15" xfId="0" applyBorder="1"/>
    <xf numFmtId="0" fontId="0" fillId="0" borderId="10" xfId="0" applyBorder="1"/>
    <xf numFmtId="0" fontId="0" fillId="0" borderId="11" xfId="0" applyBorder="1"/>
    <xf numFmtId="0" fontId="9" fillId="0" borderId="0" xfId="0" applyFont="1" applyAlignment="1">
      <alignment vertical="center"/>
    </xf>
    <xf numFmtId="0" fontId="10" fillId="0" borderId="0" xfId="0" applyFont="1" applyAlignment="1">
      <alignment vertical="center"/>
    </xf>
    <xf numFmtId="0" fontId="0" fillId="0" borderId="12" xfId="0" applyBorder="1"/>
    <xf numFmtId="0" fontId="10" fillId="0" borderId="0" xfId="0" applyFont="1" applyAlignment="1">
      <alignment vertical="center" wrapText="1"/>
    </xf>
    <xf numFmtId="164" fontId="10" fillId="0" borderId="16" xfId="0" applyNumberFormat="1" applyFont="1" applyBorder="1" applyAlignment="1">
      <alignment vertical="center" wrapText="1"/>
    </xf>
    <xf numFmtId="0" fontId="10" fillId="0" borderId="12" xfId="0" applyFont="1" applyBorder="1" applyAlignment="1">
      <alignment vertical="center" wrapText="1"/>
    </xf>
    <xf numFmtId="0" fontId="10" fillId="0" borderId="0" xfId="0" applyFont="1" applyAlignment="1">
      <alignment horizontal="left" vertical="center"/>
    </xf>
    <xf numFmtId="0" fontId="10" fillId="0" borderId="0" xfId="0" applyFont="1" applyAlignment="1">
      <alignment horizontal="right" vertical="center" wrapText="1"/>
    </xf>
    <xf numFmtId="0" fontId="0" fillId="0" borderId="0" xfId="0" applyAlignment="1">
      <alignment vertical="center" wrapText="1"/>
    </xf>
    <xf numFmtId="0" fontId="0" fillId="0" borderId="12" xfId="0" applyBorder="1" applyAlignment="1">
      <alignment vertical="center" wrapText="1"/>
    </xf>
    <xf numFmtId="0" fontId="0" fillId="0" borderId="17" xfId="0" applyBorder="1"/>
    <xf numFmtId="0" fontId="10" fillId="0" borderId="0" xfId="0" applyFont="1" applyAlignment="1">
      <alignment horizontal="center" vertical="center"/>
    </xf>
    <xf numFmtId="0" fontId="8" fillId="0" borderId="11" xfId="0" applyFont="1" applyBorder="1" applyAlignment="1">
      <alignment vertical="center"/>
    </xf>
    <xf numFmtId="0" fontId="0" fillId="0" borderId="20" xfId="0" applyBorder="1"/>
    <xf numFmtId="0" fontId="9" fillId="0" borderId="20" xfId="0" applyFont="1" applyBorder="1" applyAlignment="1">
      <alignment vertical="center"/>
    </xf>
    <xf numFmtId="0" fontId="0" fillId="0" borderId="0" xfId="0" applyAlignment="1">
      <alignment vertical="center"/>
    </xf>
    <xf numFmtId="0" fontId="8" fillId="0" borderId="0" xfId="0" applyFont="1" applyAlignment="1">
      <alignment vertical="center"/>
    </xf>
    <xf numFmtId="0" fontId="11" fillId="0" borderId="0" xfId="0" applyFont="1" applyAlignment="1">
      <alignment vertical="center"/>
    </xf>
    <xf numFmtId="0" fontId="10" fillId="0" borderId="11" xfId="0" applyFont="1" applyBorder="1"/>
    <xf numFmtId="0" fontId="10" fillId="0" borderId="0" xfId="0" applyFont="1"/>
    <xf numFmtId="0" fontId="10" fillId="0" borderId="12" xfId="0" applyFont="1" applyBorder="1"/>
    <xf numFmtId="0" fontId="11" fillId="0" borderId="17" xfId="0" applyFont="1" applyBorder="1" applyAlignment="1">
      <alignment vertical="center"/>
    </xf>
    <xf numFmtId="0" fontId="0" fillId="0" borderId="13" xfId="0" applyBorder="1"/>
    <xf numFmtId="0" fontId="0" fillId="0" borderId="21" xfId="0" applyBorder="1"/>
    <xf numFmtId="0" fontId="11" fillId="0" borderId="21" xfId="0" applyFont="1" applyBorder="1" applyAlignment="1">
      <alignment vertical="center"/>
    </xf>
    <xf numFmtId="0" fontId="0" fillId="0" borderId="14" xfId="0" applyBorder="1"/>
    <xf numFmtId="1" fontId="0" fillId="0" borderId="0" xfId="0" applyNumberFormat="1"/>
    <xf numFmtId="43" fontId="0" fillId="0" borderId="0" xfId="1" applyFont="1"/>
    <xf numFmtId="0" fontId="12" fillId="0" borderId="20" xfId="0" applyFont="1" applyBorder="1"/>
    <xf numFmtId="0" fontId="2" fillId="2" borderId="22" xfId="0" applyFont="1" applyFill="1" applyBorder="1" applyAlignment="1">
      <alignment vertical="center" wrapText="1"/>
    </xf>
    <xf numFmtId="0" fontId="2" fillId="2" borderId="0" xfId="0" applyFont="1" applyFill="1" applyAlignment="1">
      <alignment vertical="center" wrapText="1"/>
    </xf>
    <xf numFmtId="0" fontId="2" fillId="2" borderId="23" xfId="0" applyFont="1" applyFill="1" applyBorder="1" applyAlignment="1">
      <alignment vertical="center" wrapText="1"/>
    </xf>
    <xf numFmtId="0" fontId="2" fillId="2" borderId="24" xfId="0" applyFont="1" applyFill="1" applyBorder="1" applyAlignment="1">
      <alignment horizontal="center" vertical="center"/>
    </xf>
    <xf numFmtId="0" fontId="2" fillId="2" borderId="24" xfId="0" applyFont="1" applyFill="1" applyBorder="1" applyAlignment="1">
      <alignment horizontal="left" vertical="center"/>
    </xf>
    <xf numFmtId="1" fontId="2" fillId="2" borderId="24" xfId="0" applyNumberFormat="1" applyFont="1" applyFill="1" applyBorder="1" applyAlignment="1">
      <alignment horizontal="center" vertical="center"/>
    </xf>
    <xf numFmtId="0" fontId="2" fillId="2" borderId="25" xfId="0" applyFont="1" applyFill="1" applyBorder="1" applyAlignment="1">
      <alignment horizontal="center" vertical="center"/>
    </xf>
    <xf numFmtId="0" fontId="2" fillId="2" borderId="26" xfId="0" applyFont="1" applyFill="1" applyBorder="1" applyAlignment="1">
      <alignment horizontal="left" vertical="center"/>
    </xf>
    <xf numFmtId="0" fontId="2" fillId="2" borderId="26" xfId="0" applyFont="1" applyFill="1" applyBorder="1" applyAlignment="1">
      <alignment horizontal="left" vertical="center" wrapText="1"/>
    </xf>
    <xf numFmtId="0" fontId="2" fillId="2" borderId="27" xfId="0" applyFont="1" applyFill="1" applyBorder="1" applyAlignment="1">
      <alignment horizontal="center" vertical="center" wrapText="1"/>
    </xf>
    <xf numFmtId="1" fontId="2" fillId="2" borderId="26" xfId="0" applyNumberFormat="1" applyFont="1" applyFill="1" applyBorder="1" applyAlignment="1">
      <alignment horizontal="center" vertical="center" wrapText="1"/>
    </xf>
    <xf numFmtId="43" fontId="2" fillId="2" borderId="26" xfId="1" applyFont="1" applyFill="1" applyBorder="1" applyAlignment="1">
      <alignment horizontal="center" vertical="center" wrapText="1"/>
    </xf>
    <xf numFmtId="0" fontId="2" fillId="2" borderId="26" xfId="0" applyFont="1" applyFill="1" applyBorder="1" applyAlignment="1">
      <alignment horizontal="center" vertical="center" wrapText="1"/>
    </xf>
    <xf numFmtId="0" fontId="13" fillId="0" borderId="0" xfId="2"/>
    <xf numFmtId="43" fontId="0" fillId="0" borderId="0" xfId="0" applyNumberFormat="1"/>
    <xf numFmtId="14" fontId="10" fillId="0" borderId="16" xfId="0" applyNumberFormat="1" applyFont="1" applyBorder="1" applyAlignment="1">
      <alignment horizontal="left" vertical="center"/>
    </xf>
    <xf numFmtId="0" fontId="14" fillId="0" borderId="0" xfId="0" applyFont="1" applyAlignment="1">
      <alignment vertical="center"/>
    </xf>
    <xf numFmtId="14" fontId="0" fillId="0" borderId="0" xfId="0" applyNumberFormat="1" applyAlignment="1">
      <alignment horizontal="left"/>
    </xf>
    <xf numFmtId="165" fontId="0" fillId="0" borderId="0" xfId="1" applyNumberFormat="1" applyFont="1"/>
    <xf numFmtId="0" fontId="17" fillId="8" borderId="28" xfId="0" applyFont="1" applyFill="1" applyBorder="1" applyAlignment="1">
      <alignment horizontal="center" vertical="center" wrapText="1"/>
    </xf>
    <xf numFmtId="0" fontId="17" fillId="8" borderId="29" xfId="0" applyFont="1" applyFill="1" applyBorder="1" applyAlignment="1">
      <alignment horizontal="center" vertical="center" wrapText="1"/>
    </xf>
    <xf numFmtId="0" fontId="17" fillId="8" borderId="30" xfId="0" applyFont="1" applyFill="1" applyBorder="1" applyAlignment="1">
      <alignment horizontal="center" vertical="center" wrapText="1"/>
    </xf>
    <xf numFmtId="0" fontId="16" fillId="9" borderId="31" xfId="0" applyFont="1" applyFill="1" applyBorder="1" applyAlignment="1">
      <alignment horizontal="center" vertical="top"/>
    </xf>
    <xf numFmtId="0" fontId="22" fillId="9" borderId="32" xfId="0" applyFont="1" applyFill="1" applyBorder="1" applyAlignment="1">
      <alignment vertical="top"/>
    </xf>
    <xf numFmtId="0" fontId="0" fillId="9" borderId="32" xfId="0" applyFill="1" applyBorder="1" applyAlignment="1">
      <alignment vertical="top" wrapText="1"/>
    </xf>
    <xf numFmtId="0" fontId="0" fillId="9" borderId="33" xfId="0" applyFill="1" applyBorder="1" applyAlignment="1">
      <alignment vertical="top" wrapText="1"/>
    </xf>
    <xf numFmtId="0" fontId="16" fillId="0" borderId="31" xfId="0" applyFont="1" applyBorder="1" applyAlignment="1">
      <alignment horizontal="center" vertical="top"/>
    </xf>
    <xf numFmtId="0" fontId="22" fillId="0" borderId="32" xfId="0" applyFont="1" applyBorder="1" applyAlignment="1">
      <alignment vertical="top"/>
    </xf>
    <xf numFmtId="0" fontId="0" fillId="0" borderId="32" xfId="0" applyBorder="1" applyAlignment="1">
      <alignment vertical="top" wrapText="1"/>
    </xf>
    <xf numFmtId="0" fontId="0" fillId="0" borderId="33" xfId="0" applyBorder="1" applyAlignment="1">
      <alignment vertical="top" wrapText="1"/>
    </xf>
    <xf numFmtId="0" fontId="22" fillId="9" borderId="35" xfId="0" applyFont="1" applyFill="1" applyBorder="1" applyAlignment="1">
      <alignment vertical="top"/>
    </xf>
    <xf numFmtId="0" fontId="0" fillId="9" borderId="35" xfId="0" applyFill="1" applyBorder="1" applyAlignment="1">
      <alignment vertical="top" wrapText="1"/>
    </xf>
    <xf numFmtId="0" fontId="0" fillId="9" borderId="36" xfId="0" applyFill="1" applyBorder="1" applyAlignment="1">
      <alignment vertical="top" wrapText="1"/>
    </xf>
    <xf numFmtId="0" fontId="14" fillId="0" borderId="0" xfId="0" applyFont="1" applyAlignment="1">
      <alignment vertical="center" wrapText="1"/>
    </xf>
    <xf numFmtId="49" fontId="0" fillId="0" borderId="0" xfId="0" applyNumberFormat="1"/>
    <xf numFmtId="166" fontId="0" fillId="0" borderId="0" xfId="1" applyNumberFormat="1" applyFont="1"/>
    <xf numFmtId="167" fontId="0" fillId="0" borderId="0" xfId="1" applyNumberFormat="1" applyFont="1"/>
    <xf numFmtId="167" fontId="0" fillId="4" borderId="0" xfId="1" applyNumberFormat="1" applyFont="1" applyFill="1"/>
    <xf numFmtId="18" fontId="0" fillId="0" borderId="0" xfId="0" applyNumberFormat="1"/>
    <xf numFmtId="167" fontId="0" fillId="0" borderId="0" xfId="1" applyNumberFormat="1" applyFont="1" applyFill="1"/>
    <xf numFmtId="167" fontId="0" fillId="12" borderId="0" xfId="1" applyNumberFormat="1" applyFont="1" applyFill="1"/>
    <xf numFmtId="167" fontId="0" fillId="13" borderId="0" xfId="1" applyNumberFormat="1" applyFont="1" applyFill="1"/>
    <xf numFmtId="167" fontId="0" fillId="14" borderId="0" xfId="1" applyNumberFormat="1" applyFont="1" applyFill="1"/>
    <xf numFmtId="167" fontId="0" fillId="15" borderId="0" xfId="1" applyNumberFormat="1" applyFont="1" applyFill="1"/>
    <xf numFmtId="2" fontId="0" fillId="0" borderId="0" xfId="0" applyNumberFormat="1"/>
    <xf numFmtId="165" fontId="0" fillId="0" borderId="0" xfId="0" applyNumberFormat="1"/>
    <xf numFmtId="0" fontId="26" fillId="0" borderId="0" xfId="0" applyFont="1" applyAlignment="1">
      <alignment wrapText="1"/>
    </xf>
    <xf numFmtId="0" fontId="27" fillId="8" borderId="28" xfId="0" applyFont="1" applyFill="1" applyBorder="1" applyAlignment="1">
      <alignment horizontal="center" wrapText="1"/>
    </xf>
    <xf numFmtId="0" fontId="27" fillId="8" borderId="29" xfId="0" applyFont="1" applyFill="1" applyBorder="1" applyAlignment="1">
      <alignment horizontal="center" wrapText="1"/>
    </xf>
    <xf numFmtId="0" fontId="29" fillId="9" borderId="31" xfId="0" applyFont="1" applyFill="1" applyBorder="1" applyAlignment="1">
      <alignment horizontal="center" vertical="center" wrapText="1"/>
    </xf>
    <xf numFmtId="0" fontId="30" fillId="0" borderId="32" xfId="0" applyFont="1" applyBorder="1" applyAlignment="1">
      <alignment horizontal="center" vertical="center" wrapText="1"/>
    </xf>
    <xf numFmtId="0" fontId="30" fillId="0" borderId="32" xfId="0" applyFont="1" applyBorder="1" applyAlignment="1">
      <alignment vertical="center" wrapText="1"/>
    </xf>
    <xf numFmtId="0" fontId="26" fillId="9" borderId="31" xfId="0" applyFont="1" applyFill="1" applyBorder="1" applyAlignment="1">
      <alignment wrapText="1"/>
    </xf>
    <xf numFmtId="0" fontId="26" fillId="0" borderId="32" xfId="0" applyFont="1" applyBorder="1" applyAlignment="1">
      <alignment wrapText="1"/>
    </xf>
    <xf numFmtId="0" fontId="30" fillId="0" borderId="32" xfId="0" applyFont="1" applyBorder="1" applyAlignment="1">
      <alignment horizontal="center" wrapText="1"/>
    </xf>
    <xf numFmtId="0" fontId="30" fillId="0" borderId="32" xfId="0" applyFont="1" applyBorder="1" applyAlignment="1">
      <alignment wrapText="1"/>
    </xf>
    <xf numFmtId="6" fontId="30" fillId="0" borderId="32" xfId="0" applyNumberFormat="1" applyFont="1" applyBorder="1" applyAlignment="1">
      <alignment horizontal="left" vertical="center" wrapText="1"/>
    </xf>
    <xf numFmtId="0" fontId="29" fillId="9" borderId="34" xfId="0" applyFont="1" applyFill="1" applyBorder="1" applyAlignment="1">
      <alignment horizontal="center" vertical="center" wrapText="1"/>
    </xf>
    <xf numFmtId="8" fontId="30" fillId="0" borderId="32" xfId="0" applyNumberFormat="1" applyFont="1" applyBorder="1" applyAlignment="1">
      <alignment horizontal="left" vertical="center" wrapText="1"/>
    </xf>
    <xf numFmtId="0" fontId="30" fillId="0" borderId="35" xfId="0" applyFont="1" applyBorder="1" applyAlignment="1">
      <alignment horizontal="center" vertical="center" wrapText="1"/>
    </xf>
    <xf numFmtId="6" fontId="30" fillId="0" borderId="35" xfId="0" applyNumberFormat="1" applyFont="1" applyBorder="1" applyAlignment="1">
      <alignment horizontal="left" vertical="center" wrapText="1"/>
    </xf>
    <xf numFmtId="0" fontId="30" fillId="0" borderId="35" xfId="0" applyFont="1" applyBorder="1" applyAlignment="1">
      <alignment vertical="center" wrapText="1"/>
    </xf>
    <xf numFmtId="0" fontId="18" fillId="5" borderId="0" xfId="0" applyFont="1" applyFill="1" applyAlignment="1">
      <alignment vertical="center"/>
    </xf>
    <xf numFmtId="0" fontId="19" fillId="0" borderId="0" xfId="0" applyFont="1" applyAlignment="1">
      <alignment wrapText="1"/>
    </xf>
    <xf numFmtId="0" fontId="20" fillId="6" borderId="0" xfId="0" applyFont="1" applyFill="1"/>
    <xf numFmtId="0" fontId="21" fillId="7" borderId="0" xfId="0" applyFont="1" applyFill="1" applyAlignment="1">
      <alignment wrapText="1"/>
    </xf>
    <xf numFmtId="0" fontId="23" fillId="10" borderId="0" xfId="0" applyFont="1" applyFill="1" applyAlignment="1">
      <alignment wrapText="1"/>
    </xf>
    <xf numFmtId="0" fontId="2" fillId="2" borderId="22"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5"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23" xfId="0" applyFont="1" applyFill="1" applyBorder="1" applyAlignment="1">
      <alignment horizontal="left" vertical="center" wrapText="1"/>
    </xf>
    <xf numFmtId="0" fontId="0" fillId="0" borderId="13" xfId="0" applyBorder="1" applyAlignment="1">
      <alignment horizontal="center" vertical="top"/>
    </xf>
    <xf numFmtId="0" fontId="0" fillId="0" borderId="14" xfId="0" applyBorder="1" applyAlignment="1">
      <alignment horizontal="center" vertical="top"/>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0" borderId="9" xfId="0" applyFont="1" applyBorder="1" applyAlignment="1">
      <alignment horizontal="left" vertical="top"/>
    </xf>
    <xf numFmtId="0" fontId="5" fillId="0" borderId="10" xfId="0" applyFont="1" applyBorder="1" applyAlignment="1">
      <alignment horizontal="left" vertical="top"/>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0" fillId="0" borderId="11" xfId="0" applyBorder="1" applyAlignment="1">
      <alignment horizontal="center" vertical="top"/>
    </xf>
    <xf numFmtId="0" fontId="0" fillId="0" borderId="12" xfId="0" applyBorder="1" applyAlignment="1">
      <alignment horizontal="center" vertical="top"/>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0" fillId="0" borderId="18" xfId="0" applyBorder="1" applyAlignment="1">
      <alignment horizontal="center"/>
    </xf>
    <xf numFmtId="0" fontId="0" fillId="0" borderId="19" xfId="0" applyBorder="1" applyAlignment="1">
      <alignment horizontal="center"/>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1" fontId="6" fillId="0" borderId="9" xfId="0" applyNumberFormat="1" applyFont="1" applyBorder="1" applyAlignment="1">
      <alignment horizontal="center" vertical="center" wrapText="1"/>
    </xf>
    <xf numFmtId="1" fontId="6" fillId="0" borderId="10" xfId="0" applyNumberFormat="1" applyFont="1" applyBorder="1" applyAlignment="1">
      <alignment horizontal="center"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10" fillId="0" borderId="0" xfId="0" applyFont="1" applyAlignment="1">
      <alignment horizontal="center" vertical="center"/>
    </xf>
    <xf numFmtId="0" fontId="0" fillId="0" borderId="18" xfId="0" applyBorder="1" applyAlignment="1">
      <alignment horizontal="center" wrapText="1"/>
    </xf>
    <xf numFmtId="0" fontId="0" fillId="0" borderId="19" xfId="0" applyBorder="1" applyAlignment="1">
      <alignment horizontal="center" wrapText="1"/>
    </xf>
    <xf numFmtId="0" fontId="0" fillId="0" borderId="0" xfId="0" applyAlignment="1">
      <alignment horizont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28" fillId="9" borderId="31" xfId="0" applyFont="1" applyFill="1" applyBorder="1" applyAlignment="1">
      <alignment vertical="center" wrapText="1"/>
    </xf>
    <xf numFmtId="0" fontId="28" fillId="11" borderId="32" xfId="0" applyFont="1" applyFill="1" applyBorder="1" applyAlignment="1">
      <alignment vertical="center" wrapText="1"/>
    </xf>
    <xf numFmtId="0" fontId="24" fillId="5" borderId="0" xfId="0" applyFont="1" applyFill="1" applyAlignment="1">
      <alignment vertical="center"/>
    </xf>
    <xf numFmtId="0" fontId="25" fillId="0" borderId="0" xfId="0" applyFont="1" applyAlignment="1">
      <alignment horizontal="center" wrapText="1"/>
    </xf>
    <xf numFmtId="0" fontId="31" fillId="0" borderId="0" xfId="0" applyFont="1" applyAlignment="1">
      <alignment horizontal="left" vertical="center" indent="2"/>
    </xf>
    <xf numFmtId="0" fontId="32" fillId="0" borderId="0" xfId="0" applyFont="1"/>
    <xf numFmtId="0" fontId="16" fillId="16" borderId="31" xfId="0" applyFont="1" applyFill="1" applyBorder="1" applyAlignment="1">
      <alignment horizontal="center" vertical="top"/>
    </xf>
    <xf numFmtId="0" fontId="22" fillId="16" borderId="32" xfId="0" applyFont="1" applyFill="1" applyBorder="1" applyAlignment="1">
      <alignment vertical="top"/>
    </xf>
    <xf numFmtId="0" fontId="0" fillId="16" borderId="32" xfId="0" applyFill="1" applyBorder="1" applyAlignment="1">
      <alignment vertical="top" wrapText="1"/>
    </xf>
    <xf numFmtId="0" fontId="0" fillId="16" borderId="33" xfId="0" applyFill="1" applyBorder="1" applyAlignment="1">
      <alignment vertical="top" wrapText="1"/>
    </xf>
    <xf numFmtId="0" fontId="0" fillId="16" borderId="0" xfId="0" applyFill="1"/>
  </cellXfs>
  <cellStyles count="3">
    <cellStyle name="Comma" xfId="1" builtinId="3"/>
    <cellStyle name="Hyperlink" xfId="2" builtinId="8"/>
    <cellStyle name="Normal" xfId="0" builtinId="0"/>
  </cellStyles>
  <dxfs count="0"/>
  <tableStyles count="0" defaultTableStyle="TableStyleMedium2" defaultPivotStyle="PivotStyleLight16"/>
  <colors>
    <mruColors>
      <color rgb="FFEB832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285750</xdr:colOff>
          <xdr:row>31</xdr:row>
          <xdr:rowOff>38100</xdr:rowOff>
        </xdr:from>
        <xdr:to>
          <xdr:col>1</xdr:col>
          <xdr:colOff>552450</xdr:colOff>
          <xdr:row>32</xdr:row>
          <xdr:rowOff>9525</xdr:rowOff>
        </xdr:to>
        <xdr:sp macro="" textlink="">
          <xdr:nvSpPr>
            <xdr:cNvPr id="8193" name="Check Box 1" hidden="1">
              <a:extLst>
                <a:ext uri="{63B3BB69-23CF-44E3-9099-C40C66FF867C}">
                  <a14:compatExt spid="_x0000_s8193"/>
                </a:ext>
                <a:ext uri="{FF2B5EF4-FFF2-40B4-BE49-F238E27FC236}">
                  <a16:creationId xmlns:a16="http://schemas.microsoft.com/office/drawing/2014/main" id="{00000000-0008-0000-0800-00000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32</xdr:row>
          <xdr:rowOff>38100</xdr:rowOff>
        </xdr:from>
        <xdr:to>
          <xdr:col>1</xdr:col>
          <xdr:colOff>552450</xdr:colOff>
          <xdr:row>33</xdr:row>
          <xdr:rowOff>0</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800-00000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33</xdr:row>
          <xdr:rowOff>38100</xdr:rowOff>
        </xdr:from>
        <xdr:to>
          <xdr:col>1</xdr:col>
          <xdr:colOff>552450</xdr:colOff>
          <xdr:row>34</xdr:row>
          <xdr:rowOff>0</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0800-00000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31</xdr:row>
          <xdr:rowOff>38100</xdr:rowOff>
        </xdr:from>
        <xdr:to>
          <xdr:col>6</xdr:col>
          <xdr:colOff>552450</xdr:colOff>
          <xdr:row>32</xdr:row>
          <xdr:rowOff>9525</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800-00000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32</xdr:row>
          <xdr:rowOff>38100</xdr:rowOff>
        </xdr:from>
        <xdr:to>
          <xdr:col>6</xdr:col>
          <xdr:colOff>552450</xdr:colOff>
          <xdr:row>33</xdr:row>
          <xdr:rowOff>0</xdr:rowOff>
        </xdr:to>
        <xdr:sp macro="" textlink="">
          <xdr:nvSpPr>
            <xdr:cNvPr id="8197" name="Check Box 5" hidden="1">
              <a:extLst>
                <a:ext uri="{63B3BB69-23CF-44E3-9099-C40C66FF867C}">
                  <a14:compatExt spid="_x0000_s8197"/>
                </a:ext>
                <a:ext uri="{FF2B5EF4-FFF2-40B4-BE49-F238E27FC236}">
                  <a16:creationId xmlns:a16="http://schemas.microsoft.com/office/drawing/2014/main" id="{00000000-0008-0000-0800-00000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33</xdr:row>
          <xdr:rowOff>38100</xdr:rowOff>
        </xdr:from>
        <xdr:to>
          <xdr:col>6</xdr:col>
          <xdr:colOff>552450</xdr:colOff>
          <xdr:row>34</xdr:row>
          <xdr:rowOff>0</xdr:rowOff>
        </xdr:to>
        <xdr:sp macro="" textlink="">
          <xdr:nvSpPr>
            <xdr:cNvPr id="8198" name="Check Box 6" hidden="1">
              <a:extLst>
                <a:ext uri="{63B3BB69-23CF-44E3-9099-C40C66FF867C}">
                  <a14:compatExt spid="_x0000_s8198"/>
                </a:ext>
                <a:ext uri="{FF2B5EF4-FFF2-40B4-BE49-F238E27FC236}">
                  <a16:creationId xmlns:a16="http://schemas.microsoft.com/office/drawing/2014/main" id="{00000000-0008-0000-0800-00000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37</xdr:row>
          <xdr:rowOff>38100</xdr:rowOff>
        </xdr:from>
        <xdr:to>
          <xdr:col>1</xdr:col>
          <xdr:colOff>552450</xdr:colOff>
          <xdr:row>38</xdr:row>
          <xdr:rowOff>9525</xdr:rowOff>
        </xdr:to>
        <xdr:sp macro="" textlink="">
          <xdr:nvSpPr>
            <xdr:cNvPr id="8199" name="Check Box 7" hidden="1">
              <a:extLst>
                <a:ext uri="{63B3BB69-23CF-44E3-9099-C40C66FF867C}">
                  <a14:compatExt spid="_x0000_s8199"/>
                </a:ext>
                <a:ext uri="{FF2B5EF4-FFF2-40B4-BE49-F238E27FC236}">
                  <a16:creationId xmlns:a16="http://schemas.microsoft.com/office/drawing/2014/main" id="{00000000-0008-0000-0800-00000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39</xdr:row>
          <xdr:rowOff>38100</xdr:rowOff>
        </xdr:from>
        <xdr:to>
          <xdr:col>1</xdr:col>
          <xdr:colOff>552450</xdr:colOff>
          <xdr:row>40</xdr:row>
          <xdr:rowOff>9525</xdr:rowOff>
        </xdr:to>
        <xdr:sp macro="" textlink="">
          <xdr:nvSpPr>
            <xdr:cNvPr id="8200" name="Check Box 8" hidden="1">
              <a:extLst>
                <a:ext uri="{63B3BB69-23CF-44E3-9099-C40C66FF867C}">
                  <a14:compatExt spid="_x0000_s8200"/>
                </a:ext>
                <a:ext uri="{FF2B5EF4-FFF2-40B4-BE49-F238E27FC236}">
                  <a16:creationId xmlns:a16="http://schemas.microsoft.com/office/drawing/2014/main" id="{00000000-0008-0000-0800-00000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40</xdr:row>
          <xdr:rowOff>38100</xdr:rowOff>
        </xdr:from>
        <xdr:to>
          <xdr:col>1</xdr:col>
          <xdr:colOff>552450</xdr:colOff>
          <xdr:row>41</xdr:row>
          <xdr:rowOff>9525</xdr:rowOff>
        </xdr:to>
        <xdr:sp macro="" textlink="">
          <xdr:nvSpPr>
            <xdr:cNvPr id="8201" name="Check Box 9" hidden="1">
              <a:extLst>
                <a:ext uri="{63B3BB69-23CF-44E3-9099-C40C66FF867C}">
                  <a14:compatExt spid="_x0000_s8201"/>
                </a:ext>
                <a:ext uri="{FF2B5EF4-FFF2-40B4-BE49-F238E27FC236}">
                  <a16:creationId xmlns:a16="http://schemas.microsoft.com/office/drawing/2014/main" id="{00000000-0008-0000-0800-00000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41</xdr:row>
          <xdr:rowOff>38100</xdr:rowOff>
        </xdr:from>
        <xdr:to>
          <xdr:col>1</xdr:col>
          <xdr:colOff>552450</xdr:colOff>
          <xdr:row>42</xdr:row>
          <xdr:rowOff>9525</xdr:rowOff>
        </xdr:to>
        <xdr:sp macro="" textlink="">
          <xdr:nvSpPr>
            <xdr:cNvPr id="8202" name="Check Box 10" hidden="1">
              <a:extLst>
                <a:ext uri="{63B3BB69-23CF-44E3-9099-C40C66FF867C}">
                  <a14:compatExt spid="_x0000_s8202"/>
                </a:ext>
                <a:ext uri="{FF2B5EF4-FFF2-40B4-BE49-F238E27FC236}">
                  <a16:creationId xmlns:a16="http://schemas.microsoft.com/office/drawing/2014/main" id="{00000000-0008-0000-0800-00000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42</xdr:row>
          <xdr:rowOff>38100</xdr:rowOff>
        </xdr:from>
        <xdr:to>
          <xdr:col>1</xdr:col>
          <xdr:colOff>552450</xdr:colOff>
          <xdr:row>43</xdr:row>
          <xdr:rowOff>0</xdr:rowOff>
        </xdr:to>
        <xdr:sp macro="" textlink="">
          <xdr:nvSpPr>
            <xdr:cNvPr id="8203" name="Check Box 11" hidden="1">
              <a:extLst>
                <a:ext uri="{63B3BB69-23CF-44E3-9099-C40C66FF867C}">
                  <a14:compatExt spid="_x0000_s8203"/>
                </a:ext>
                <a:ext uri="{FF2B5EF4-FFF2-40B4-BE49-F238E27FC236}">
                  <a16:creationId xmlns:a16="http://schemas.microsoft.com/office/drawing/2014/main" id="{00000000-0008-0000-0800-00000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43</xdr:row>
          <xdr:rowOff>38100</xdr:rowOff>
        </xdr:from>
        <xdr:to>
          <xdr:col>1</xdr:col>
          <xdr:colOff>552450</xdr:colOff>
          <xdr:row>44</xdr:row>
          <xdr:rowOff>0</xdr:rowOff>
        </xdr:to>
        <xdr:sp macro="" textlink="">
          <xdr:nvSpPr>
            <xdr:cNvPr id="8204" name="Check Box 12" hidden="1">
              <a:extLst>
                <a:ext uri="{63B3BB69-23CF-44E3-9099-C40C66FF867C}">
                  <a14:compatExt spid="_x0000_s8204"/>
                </a:ext>
                <a:ext uri="{FF2B5EF4-FFF2-40B4-BE49-F238E27FC236}">
                  <a16:creationId xmlns:a16="http://schemas.microsoft.com/office/drawing/2014/main" id="{00000000-0008-0000-0800-00000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60</xdr:row>
          <xdr:rowOff>38100</xdr:rowOff>
        </xdr:from>
        <xdr:to>
          <xdr:col>1</xdr:col>
          <xdr:colOff>552450</xdr:colOff>
          <xdr:row>61</xdr:row>
          <xdr:rowOff>9525</xdr:rowOff>
        </xdr:to>
        <xdr:sp macro="" textlink="">
          <xdr:nvSpPr>
            <xdr:cNvPr id="8205" name="Check Box 13" hidden="1">
              <a:extLst>
                <a:ext uri="{63B3BB69-23CF-44E3-9099-C40C66FF867C}">
                  <a14:compatExt spid="_x0000_s8205"/>
                </a:ext>
                <a:ext uri="{FF2B5EF4-FFF2-40B4-BE49-F238E27FC236}">
                  <a16:creationId xmlns:a16="http://schemas.microsoft.com/office/drawing/2014/main" id="{00000000-0008-0000-0800-00000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60</xdr:row>
          <xdr:rowOff>38100</xdr:rowOff>
        </xdr:from>
        <xdr:to>
          <xdr:col>1</xdr:col>
          <xdr:colOff>552450</xdr:colOff>
          <xdr:row>61</xdr:row>
          <xdr:rowOff>9525</xdr:rowOff>
        </xdr:to>
        <xdr:sp macro="" textlink="">
          <xdr:nvSpPr>
            <xdr:cNvPr id="8206" name="Check Box 14" hidden="1">
              <a:extLst>
                <a:ext uri="{63B3BB69-23CF-44E3-9099-C40C66FF867C}">
                  <a14:compatExt spid="_x0000_s8206"/>
                </a:ext>
                <a:ext uri="{FF2B5EF4-FFF2-40B4-BE49-F238E27FC236}">
                  <a16:creationId xmlns:a16="http://schemas.microsoft.com/office/drawing/2014/main" id="{00000000-0008-0000-0800-00000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62</xdr:row>
          <xdr:rowOff>38100</xdr:rowOff>
        </xdr:from>
        <xdr:to>
          <xdr:col>1</xdr:col>
          <xdr:colOff>552450</xdr:colOff>
          <xdr:row>63</xdr:row>
          <xdr:rowOff>9525</xdr:rowOff>
        </xdr:to>
        <xdr:sp macro="" textlink="">
          <xdr:nvSpPr>
            <xdr:cNvPr id="8207" name="Check Box 15" hidden="1">
              <a:extLst>
                <a:ext uri="{63B3BB69-23CF-44E3-9099-C40C66FF867C}">
                  <a14:compatExt spid="_x0000_s8207"/>
                </a:ext>
                <a:ext uri="{FF2B5EF4-FFF2-40B4-BE49-F238E27FC236}">
                  <a16:creationId xmlns:a16="http://schemas.microsoft.com/office/drawing/2014/main" id="{00000000-0008-0000-0800-00000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61</xdr:row>
          <xdr:rowOff>38100</xdr:rowOff>
        </xdr:from>
        <xdr:to>
          <xdr:col>1</xdr:col>
          <xdr:colOff>552450</xdr:colOff>
          <xdr:row>62</xdr:row>
          <xdr:rowOff>9525</xdr:rowOff>
        </xdr:to>
        <xdr:sp macro="" textlink="">
          <xdr:nvSpPr>
            <xdr:cNvPr id="8208" name="Check Box 16" hidden="1">
              <a:extLst>
                <a:ext uri="{63B3BB69-23CF-44E3-9099-C40C66FF867C}">
                  <a14:compatExt spid="_x0000_s8208"/>
                </a:ext>
                <a:ext uri="{FF2B5EF4-FFF2-40B4-BE49-F238E27FC236}">
                  <a16:creationId xmlns:a16="http://schemas.microsoft.com/office/drawing/2014/main" id="{00000000-0008-0000-0800-00001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63</xdr:row>
          <xdr:rowOff>38100</xdr:rowOff>
        </xdr:from>
        <xdr:to>
          <xdr:col>1</xdr:col>
          <xdr:colOff>552450</xdr:colOff>
          <xdr:row>64</xdr:row>
          <xdr:rowOff>9525</xdr:rowOff>
        </xdr:to>
        <xdr:sp macro="" textlink="">
          <xdr:nvSpPr>
            <xdr:cNvPr id="8209" name="Check Box 17" hidden="1">
              <a:extLst>
                <a:ext uri="{63B3BB69-23CF-44E3-9099-C40C66FF867C}">
                  <a14:compatExt spid="_x0000_s8209"/>
                </a:ext>
                <a:ext uri="{FF2B5EF4-FFF2-40B4-BE49-F238E27FC236}">
                  <a16:creationId xmlns:a16="http://schemas.microsoft.com/office/drawing/2014/main" id="{00000000-0008-0000-0800-00001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64</xdr:row>
          <xdr:rowOff>38100</xdr:rowOff>
        </xdr:from>
        <xdr:to>
          <xdr:col>1</xdr:col>
          <xdr:colOff>552450</xdr:colOff>
          <xdr:row>65</xdr:row>
          <xdr:rowOff>0</xdr:rowOff>
        </xdr:to>
        <xdr:sp macro="" textlink="">
          <xdr:nvSpPr>
            <xdr:cNvPr id="8210" name="Check Box 18" hidden="1">
              <a:extLst>
                <a:ext uri="{63B3BB69-23CF-44E3-9099-C40C66FF867C}">
                  <a14:compatExt spid="_x0000_s8210"/>
                </a:ext>
                <a:ext uri="{FF2B5EF4-FFF2-40B4-BE49-F238E27FC236}">
                  <a16:creationId xmlns:a16="http://schemas.microsoft.com/office/drawing/2014/main" id="{00000000-0008-0000-0800-00001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65</xdr:row>
          <xdr:rowOff>38100</xdr:rowOff>
        </xdr:from>
        <xdr:to>
          <xdr:col>1</xdr:col>
          <xdr:colOff>552450</xdr:colOff>
          <xdr:row>66</xdr:row>
          <xdr:rowOff>0</xdr:rowOff>
        </xdr:to>
        <xdr:sp macro="" textlink="">
          <xdr:nvSpPr>
            <xdr:cNvPr id="8211" name="Check Box 19" hidden="1">
              <a:extLst>
                <a:ext uri="{63B3BB69-23CF-44E3-9099-C40C66FF867C}">
                  <a14:compatExt spid="_x0000_s8211"/>
                </a:ext>
                <a:ext uri="{FF2B5EF4-FFF2-40B4-BE49-F238E27FC236}">
                  <a16:creationId xmlns:a16="http://schemas.microsoft.com/office/drawing/2014/main" id="{00000000-0008-0000-0800-00001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66</xdr:row>
          <xdr:rowOff>38100</xdr:rowOff>
        </xdr:from>
        <xdr:to>
          <xdr:col>1</xdr:col>
          <xdr:colOff>552450</xdr:colOff>
          <xdr:row>67</xdr:row>
          <xdr:rowOff>9525</xdr:rowOff>
        </xdr:to>
        <xdr:sp macro="" textlink="">
          <xdr:nvSpPr>
            <xdr:cNvPr id="8212" name="Check Box 20" hidden="1">
              <a:extLst>
                <a:ext uri="{63B3BB69-23CF-44E3-9099-C40C66FF867C}">
                  <a14:compatExt spid="_x0000_s8212"/>
                </a:ext>
                <a:ext uri="{FF2B5EF4-FFF2-40B4-BE49-F238E27FC236}">
                  <a16:creationId xmlns:a16="http://schemas.microsoft.com/office/drawing/2014/main" id="{00000000-0008-0000-0800-00001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67</xdr:row>
          <xdr:rowOff>38100</xdr:rowOff>
        </xdr:from>
        <xdr:to>
          <xdr:col>1</xdr:col>
          <xdr:colOff>552450</xdr:colOff>
          <xdr:row>68</xdr:row>
          <xdr:rowOff>9525</xdr:rowOff>
        </xdr:to>
        <xdr:sp macro="" textlink="">
          <xdr:nvSpPr>
            <xdr:cNvPr id="8213" name="Check Box 21" hidden="1">
              <a:extLst>
                <a:ext uri="{63B3BB69-23CF-44E3-9099-C40C66FF867C}">
                  <a14:compatExt spid="_x0000_s8213"/>
                </a:ext>
                <a:ext uri="{FF2B5EF4-FFF2-40B4-BE49-F238E27FC236}">
                  <a16:creationId xmlns:a16="http://schemas.microsoft.com/office/drawing/2014/main" id="{00000000-0008-0000-0800-00001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60</xdr:row>
          <xdr:rowOff>38100</xdr:rowOff>
        </xdr:from>
        <xdr:to>
          <xdr:col>3</xdr:col>
          <xdr:colOff>552450</xdr:colOff>
          <xdr:row>61</xdr:row>
          <xdr:rowOff>9525</xdr:rowOff>
        </xdr:to>
        <xdr:sp macro="" textlink="">
          <xdr:nvSpPr>
            <xdr:cNvPr id="8214" name="Check Box 22" hidden="1">
              <a:extLst>
                <a:ext uri="{63B3BB69-23CF-44E3-9099-C40C66FF867C}">
                  <a14:compatExt spid="_x0000_s8214"/>
                </a:ext>
                <a:ext uri="{FF2B5EF4-FFF2-40B4-BE49-F238E27FC236}">
                  <a16:creationId xmlns:a16="http://schemas.microsoft.com/office/drawing/2014/main" id="{00000000-0008-0000-0800-00001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61</xdr:row>
          <xdr:rowOff>38100</xdr:rowOff>
        </xdr:from>
        <xdr:to>
          <xdr:col>3</xdr:col>
          <xdr:colOff>552450</xdr:colOff>
          <xdr:row>62</xdr:row>
          <xdr:rowOff>9525</xdr:rowOff>
        </xdr:to>
        <xdr:sp macro="" textlink="">
          <xdr:nvSpPr>
            <xdr:cNvPr id="8215" name="Check Box 23" hidden="1">
              <a:extLst>
                <a:ext uri="{63B3BB69-23CF-44E3-9099-C40C66FF867C}">
                  <a14:compatExt spid="_x0000_s8215"/>
                </a:ext>
                <a:ext uri="{FF2B5EF4-FFF2-40B4-BE49-F238E27FC236}">
                  <a16:creationId xmlns:a16="http://schemas.microsoft.com/office/drawing/2014/main" id="{00000000-0008-0000-0800-00001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62</xdr:row>
          <xdr:rowOff>38100</xdr:rowOff>
        </xdr:from>
        <xdr:to>
          <xdr:col>3</xdr:col>
          <xdr:colOff>552450</xdr:colOff>
          <xdr:row>63</xdr:row>
          <xdr:rowOff>9525</xdr:rowOff>
        </xdr:to>
        <xdr:sp macro="" textlink="">
          <xdr:nvSpPr>
            <xdr:cNvPr id="8216" name="Check Box 24" hidden="1">
              <a:extLst>
                <a:ext uri="{63B3BB69-23CF-44E3-9099-C40C66FF867C}">
                  <a14:compatExt spid="_x0000_s8216"/>
                </a:ext>
                <a:ext uri="{FF2B5EF4-FFF2-40B4-BE49-F238E27FC236}">
                  <a16:creationId xmlns:a16="http://schemas.microsoft.com/office/drawing/2014/main" id="{00000000-0008-0000-0800-00001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63</xdr:row>
          <xdr:rowOff>38100</xdr:rowOff>
        </xdr:from>
        <xdr:to>
          <xdr:col>3</xdr:col>
          <xdr:colOff>552450</xdr:colOff>
          <xdr:row>64</xdr:row>
          <xdr:rowOff>9525</xdr:rowOff>
        </xdr:to>
        <xdr:sp macro="" textlink="">
          <xdr:nvSpPr>
            <xdr:cNvPr id="8217" name="Check Box 25" hidden="1">
              <a:extLst>
                <a:ext uri="{63B3BB69-23CF-44E3-9099-C40C66FF867C}">
                  <a14:compatExt spid="_x0000_s8217"/>
                </a:ext>
                <a:ext uri="{FF2B5EF4-FFF2-40B4-BE49-F238E27FC236}">
                  <a16:creationId xmlns:a16="http://schemas.microsoft.com/office/drawing/2014/main" id="{00000000-0008-0000-0800-00001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64</xdr:row>
          <xdr:rowOff>38100</xdr:rowOff>
        </xdr:from>
        <xdr:to>
          <xdr:col>3</xdr:col>
          <xdr:colOff>552450</xdr:colOff>
          <xdr:row>65</xdr:row>
          <xdr:rowOff>0</xdr:rowOff>
        </xdr:to>
        <xdr:sp macro="" textlink="">
          <xdr:nvSpPr>
            <xdr:cNvPr id="8218" name="Check Box 26" hidden="1">
              <a:extLst>
                <a:ext uri="{63B3BB69-23CF-44E3-9099-C40C66FF867C}">
                  <a14:compatExt spid="_x0000_s8218"/>
                </a:ext>
                <a:ext uri="{FF2B5EF4-FFF2-40B4-BE49-F238E27FC236}">
                  <a16:creationId xmlns:a16="http://schemas.microsoft.com/office/drawing/2014/main" id="{00000000-0008-0000-0800-00001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65</xdr:row>
          <xdr:rowOff>38100</xdr:rowOff>
        </xdr:from>
        <xdr:to>
          <xdr:col>3</xdr:col>
          <xdr:colOff>552450</xdr:colOff>
          <xdr:row>66</xdr:row>
          <xdr:rowOff>0</xdr:rowOff>
        </xdr:to>
        <xdr:sp macro="" textlink="">
          <xdr:nvSpPr>
            <xdr:cNvPr id="8219" name="Check Box 27" hidden="1">
              <a:extLst>
                <a:ext uri="{63B3BB69-23CF-44E3-9099-C40C66FF867C}">
                  <a14:compatExt spid="_x0000_s8219"/>
                </a:ext>
                <a:ext uri="{FF2B5EF4-FFF2-40B4-BE49-F238E27FC236}">
                  <a16:creationId xmlns:a16="http://schemas.microsoft.com/office/drawing/2014/main" id="{00000000-0008-0000-0800-00001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66</xdr:row>
          <xdr:rowOff>38100</xdr:rowOff>
        </xdr:from>
        <xdr:to>
          <xdr:col>3</xdr:col>
          <xdr:colOff>552450</xdr:colOff>
          <xdr:row>67</xdr:row>
          <xdr:rowOff>9525</xdr:rowOff>
        </xdr:to>
        <xdr:sp macro="" textlink="">
          <xdr:nvSpPr>
            <xdr:cNvPr id="8220" name="Check Box 28" hidden="1">
              <a:extLst>
                <a:ext uri="{63B3BB69-23CF-44E3-9099-C40C66FF867C}">
                  <a14:compatExt spid="_x0000_s8220"/>
                </a:ext>
                <a:ext uri="{FF2B5EF4-FFF2-40B4-BE49-F238E27FC236}">
                  <a16:creationId xmlns:a16="http://schemas.microsoft.com/office/drawing/2014/main" id="{00000000-0008-0000-0800-00001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67</xdr:row>
          <xdr:rowOff>38100</xdr:rowOff>
        </xdr:from>
        <xdr:to>
          <xdr:col>3</xdr:col>
          <xdr:colOff>552450</xdr:colOff>
          <xdr:row>68</xdr:row>
          <xdr:rowOff>9525</xdr:rowOff>
        </xdr:to>
        <xdr:sp macro="" textlink="">
          <xdr:nvSpPr>
            <xdr:cNvPr id="8221" name="Check Box 29" hidden="1">
              <a:extLst>
                <a:ext uri="{63B3BB69-23CF-44E3-9099-C40C66FF867C}">
                  <a14:compatExt spid="_x0000_s8221"/>
                </a:ext>
                <a:ext uri="{FF2B5EF4-FFF2-40B4-BE49-F238E27FC236}">
                  <a16:creationId xmlns:a16="http://schemas.microsoft.com/office/drawing/2014/main" id="{00000000-0008-0000-0800-00001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60</xdr:row>
          <xdr:rowOff>38100</xdr:rowOff>
        </xdr:from>
        <xdr:to>
          <xdr:col>6</xdr:col>
          <xdr:colOff>552450</xdr:colOff>
          <xdr:row>61</xdr:row>
          <xdr:rowOff>9525</xdr:rowOff>
        </xdr:to>
        <xdr:sp macro="" textlink="">
          <xdr:nvSpPr>
            <xdr:cNvPr id="8222" name="Check Box 30" hidden="1">
              <a:extLst>
                <a:ext uri="{63B3BB69-23CF-44E3-9099-C40C66FF867C}">
                  <a14:compatExt spid="_x0000_s8222"/>
                </a:ext>
                <a:ext uri="{FF2B5EF4-FFF2-40B4-BE49-F238E27FC236}">
                  <a16:creationId xmlns:a16="http://schemas.microsoft.com/office/drawing/2014/main" id="{00000000-0008-0000-0800-00001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61</xdr:row>
          <xdr:rowOff>38100</xdr:rowOff>
        </xdr:from>
        <xdr:to>
          <xdr:col>6</xdr:col>
          <xdr:colOff>552450</xdr:colOff>
          <xdr:row>62</xdr:row>
          <xdr:rowOff>9525</xdr:rowOff>
        </xdr:to>
        <xdr:sp macro="" textlink="">
          <xdr:nvSpPr>
            <xdr:cNvPr id="8223" name="Check Box 31" hidden="1">
              <a:extLst>
                <a:ext uri="{63B3BB69-23CF-44E3-9099-C40C66FF867C}">
                  <a14:compatExt spid="_x0000_s8223"/>
                </a:ext>
                <a:ext uri="{FF2B5EF4-FFF2-40B4-BE49-F238E27FC236}">
                  <a16:creationId xmlns:a16="http://schemas.microsoft.com/office/drawing/2014/main" id="{00000000-0008-0000-0800-00001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62</xdr:row>
          <xdr:rowOff>38100</xdr:rowOff>
        </xdr:from>
        <xdr:to>
          <xdr:col>6</xdr:col>
          <xdr:colOff>552450</xdr:colOff>
          <xdr:row>63</xdr:row>
          <xdr:rowOff>9525</xdr:rowOff>
        </xdr:to>
        <xdr:sp macro="" textlink="">
          <xdr:nvSpPr>
            <xdr:cNvPr id="8224" name="Check Box 32" hidden="1">
              <a:extLst>
                <a:ext uri="{63B3BB69-23CF-44E3-9099-C40C66FF867C}">
                  <a14:compatExt spid="_x0000_s8224"/>
                </a:ext>
                <a:ext uri="{FF2B5EF4-FFF2-40B4-BE49-F238E27FC236}">
                  <a16:creationId xmlns:a16="http://schemas.microsoft.com/office/drawing/2014/main" id="{00000000-0008-0000-0800-00002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63</xdr:row>
          <xdr:rowOff>38100</xdr:rowOff>
        </xdr:from>
        <xdr:to>
          <xdr:col>6</xdr:col>
          <xdr:colOff>552450</xdr:colOff>
          <xdr:row>64</xdr:row>
          <xdr:rowOff>9525</xdr:rowOff>
        </xdr:to>
        <xdr:sp macro="" textlink="">
          <xdr:nvSpPr>
            <xdr:cNvPr id="8225" name="Check Box 33" hidden="1">
              <a:extLst>
                <a:ext uri="{63B3BB69-23CF-44E3-9099-C40C66FF867C}">
                  <a14:compatExt spid="_x0000_s8225"/>
                </a:ext>
                <a:ext uri="{FF2B5EF4-FFF2-40B4-BE49-F238E27FC236}">
                  <a16:creationId xmlns:a16="http://schemas.microsoft.com/office/drawing/2014/main" id="{00000000-0008-0000-0800-00002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64</xdr:row>
          <xdr:rowOff>38100</xdr:rowOff>
        </xdr:from>
        <xdr:to>
          <xdr:col>6</xdr:col>
          <xdr:colOff>552450</xdr:colOff>
          <xdr:row>65</xdr:row>
          <xdr:rowOff>0</xdr:rowOff>
        </xdr:to>
        <xdr:sp macro="" textlink="">
          <xdr:nvSpPr>
            <xdr:cNvPr id="8226" name="Check Box 34" hidden="1">
              <a:extLst>
                <a:ext uri="{63B3BB69-23CF-44E3-9099-C40C66FF867C}">
                  <a14:compatExt spid="_x0000_s8226"/>
                </a:ext>
                <a:ext uri="{FF2B5EF4-FFF2-40B4-BE49-F238E27FC236}">
                  <a16:creationId xmlns:a16="http://schemas.microsoft.com/office/drawing/2014/main" id="{00000000-0008-0000-0800-00002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72</xdr:row>
          <xdr:rowOff>38100</xdr:rowOff>
        </xdr:from>
        <xdr:to>
          <xdr:col>6</xdr:col>
          <xdr:colOff>552450</xdr:colOff>
          <xdr:row>73</xdr:row>
          <xdr:rowOff>9525</xdr:rowOff>
        </xdr:to>
        <xdr:sp macro="" textlink="">
          <xdr:nvSpPr>
            <xdr:cNvPr id="8227" name="Check Box 35" hidden="1">
              <a:extLst>
                <a:ext uri="{63B3BB69-23CF-44E3-9099-C40C66FF867C}">
                  <a14:compatExt spid="_x0000_s8227"/>
                </a:ext>
                <a:ext uri="{FF2B5EF4-FFF2-40B4-BE49-F238E27FC236}">
                  <a16:creationId xmlns:a16="http://schemas.microsoft.com/office/drawing/2014/main" id="{00000000-0008-0000-0800-00002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73</xdr:row>
          <xdr:rowOff>38100</xdr:rowOff>
        </xdr:from>
        <xdr:to>
          <xdr:col>6</xdr:col>
          <xdr:colOff>552450</xdr:colOff>
          <xdr:row>74</xdr:row>
          <xdr:rowOff>9525</xdr:rowOff>
        </xdr:to>
        <xdr:sp macro="" textlink="">
          <xdr:nvSpPr>
            <xdr:cNvPr id="8228" name="Check Box 36" hidden="1">
              <a:extLst>
                <a:ext uri="{63B3BB69-23CF-44E3-9099-C40C66FF867C}">
                  <a14:compatExt spid="_x0000_s8228"/>
                </a:ext>
                <a:ext uri="{FF2B5EF4-FFF2-40B4-BE49-F238E27FC236}">
                  <a16:creationId xmlns:a16="http://schemas.microsoft.com/office/drawing/2014/main" id="{00000000-0008-0000-0800-00002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73</xdr:row>
          <xdr:rowOff>38100</xdr:rowOff>
        </xdr:from>
        <xdr:to>
          <xdr:col>6</xdr:col>
          <xdr:colOff>552450</xdr:colOff>
          <xdr:row>74</xdr:row>
          <xdr:rowOff>9525</xdr:rowOff>
        </xdr:to>
        <xdr:sp macro="" textlink="">
          <xdr:nvSpPr>
            <xdr:cNvPr id="8229" name="Check Box 37" hidden="1">
              <a:extLst>
                <a:ext uri="{63B3BB69-23CF-44E3-9099-C40C66FF867C}">
                  <a14:compatExt spid="_x0000_s8229"/>
                </a:ext>
                <a:ext uri="{FF2B5EF4-FFF2-40B4-BE49-F238E27FC236}">
                  <a16:creationId xmlns:a16="http://schemas.microsoft.com/office/drawing/2014/main" id="{00000000-0008-0000-0800-00002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74</xdr:row>
          <xdr:rowOff>38100</xdr:rowOff>
        </xdr:from>
        <xdr:to>
          <xdr:col>6</xdr:col>
          <xdr:colOff>552450</xdr:colOff>
          <xdr:row>75</xdr:row>
          <xdr:rowOff>9525</xdr:rowOff>
        </xdr:to>
        <xdr:sp macro="" textlink="">
          <xdr:nvSpPr>
            <xdr:cNvPr id="8230" name="Check Box 38" hidden="1">
              <a:extLst>
                <a:ext uri="{63B3BB69-23CF-44E3-9099-C40C66FF867C}">
                  <a14:compatExt spid="_x0000_s8230"/>
                </a:ext>
                <a:ext uri="{FF2B5EF4-FFF2-40B4-BE49-F238E27FC236}">
                  <a16:creationId xmlns:a16="http://schemas.microsoft.com/office/drawing/2014/main" id="{00000000-0008-0000-0800-00002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74</xdr:row>
          <xdr:rowOff>38100</xdr:rowOff>
        </xdr:from>
        <xdr:to>
          <xdr:col>6</xdr:col>
          <xdr:colOff>552450</xdr:colOff>
          <xdr:row>75</xdr:row>
          <xdr:rowOff>9525</xdr:rowOff>
        </xdr:to>
        <xdr:sp macro="" textlink="">
          <xdr:nvSpPr>
            <xdr:cNvPr id="8231" name="Check Box 39" hidden="1">
              <a:extLst>
                <a:ext uri="{63B3BB69-23CF-44E3-9099-C40C66FF867C}">
                  <a14:compatExt spid="_x0000_s8231"/>
                </a:ext>
                <a:ext uri="{FF2B5EF4-FFF2-40B4-BE49-F238E27FC236}">
                  <a16:creationId xmlns:a16="http://schemas.microsoft.com/office/drawing/2014/main" id="{00000000-0008-0000-0800-00002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74</xdr:row>
          <xdr:rowOff>38100</xdr:rowOff>
        </xdr:from>
        <xdr:to>
          <xdr:col>6</xdr:col>
          <xdr:colOff>552450</xdr:colOff>
          <xdr:row>75</xdr:row>
          <xdr:rowOff>9525</xdr:rowOff>
        </xdr:to>
        <xdr:sp macro="" textlink="">
          <xdr:nvSpPr>
            <xdr:cNvPr id="8232" name="Check Box 40" hidden="1">
              <a:extLst>
                <a:ext uri="{63B3BB69-23CF-44E3-9099-C40C66FF867C}">
                  <a14:compatExt spid="_x0000_s8232"/>
                </a:ext>
                <a:ext uri="{FF2B5EF4-FFF2-40B4-BE49-F238E27FC236}">
                  <a16:creationId xmlns:a16="http://schemas.microsoft.com/office/drawing/2014/main" id="{00000000-0008-0000-0800-00002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75</xdr:row>
          <xdr:rowOff>38100</xdr:rowOff>
        </xdr:from>
        <xdr:to>
          <xdr:col>6</xdr:col>
          <xdr:colOff>552450</xdr:colOff>
          <xdr:row>76</xdr:row>
          <xdr:rowOff>9525</xdr:rowOff>
        </xdr:to>
        <xdr:sp macro="" textlink="">
          <xdr:nvSpPr>
            <xdr:cNvPr id="8233" name="Check Box 41" hidden="1">
              <a:extLst>
                <a:ext uri="{63B3BB69-23CF-44E3-9099-C40C66FF867C}">
                  <a14:compatExt spid="_x0000_s8233"/>
                </a:ext>
                <a:ext uri="{FF2B5EF4-FFF2-40B4-BE49-F238E27FC236}">
                  <a16:creationId xmlns:a16="http://schemas.microsoft.com/office/drawing/2014/main" id="{00000000-0008-0000-0800-00002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72</xdr:row>
          <xdr:rowOff>38100</xdr:rowOff>
        </xdr:from>
        <xdr:to>
          <xdr:col>3</xdr:col>
          <xdr:colOff>552450</xdr:colOff>
          <xdr:row>73</xdr:row>
          <xdr:rowOff>9525</xdr:rowOff>
        </xdr:to>
        <xdr:sp macro="" textlink="">
          <xdr:nvSpPr>
            <xdr:cNvPr id="8234" name="Check Box 42" hidden="1">
              <a:extLst>
                <a:ext uri="{63B3BB69-23CF-44E3-9099-C40C66FF867C}">
                  <a14:compatExt spid="_x0000_s8234"/>
                </a:ext>
                <a:ext uri="{FF2B5EF4-FFF2-40B4-BE49-F238E27FC236}">
                  <a16:creationId xmlns:a16="http://schemas.microsoft.com/office/drawing/2014/main" id="{00000000-0008-0000-0800-00002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72</xdr:row>
          <xdr:rowOff>38100</xdr:rowOff>
        </xdr:from>
        <xdr:to>
          <xdr:col>3</xdr:col>
          <xdr:colOff>552450</xdr:colOff>
          <xdr:row>73</xdr:row>
          <xdr:rowOff>9525</xdr:rowOff>
        </xdr:to>
        <xdr:sp macro="" textlink="">
          <xdr:nvSpPr>
            <xdr:cNvPr id="8235" name="Check Box 43" hidden="1">
              <a:extLst>
                <a:ext uri="{63B3BB69-23CF-44E3-9099-C40C66FF867C}">
                  <a14:compatExt spid="_x0000_s8235"/>
                </a:ext>
                <a:ext uri="{FF2B5EF4-FFF2-40B4-BE49-F238E27FC236}">
                  <a16:creationId xmlns:a16="http://schemas.microsoft.com/office/drawing/2014/main" id="{00000000-0008-0000-0800-00002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72</xdr:row>
          <xdr:rowOff>38100</xdr:rowOff>
        </xdr:from>
        <xdr:to>
          <xdr:col>3</xdr:col>
          <xdr:colOff>552450</xdr:colOff>
          <xdr:row>73</xdr:row>
          <xdr:rowOff>9525</xdr:rowOff>
        </xdr:to>
        <xdr:sp macro="" textlink="">
          <xdr:nvSpPr>
            <xdr:cNvPr id="8236" name="Check Box 44" hidden="1">
              <a:extLst>
                <a:ext uri="{63B3BB69-23CF-44E3-9099-C40C66FF867C}">
                  <a14:compatExt spid="_x0000_s8236"/>
                </a:ext>
                <a:ext uri="{FF2B5EF4-FFF2-40B4-BE49-F238E27FC236}">
                  <a16:creationId xmlns:a16="http://schemas.microsoft.com/office/drawing/2014/main" id="{00000000-0008-0000-0800-00002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72</xdr:row>
          <xdr:rowOff>38100</xdr:rowOff>
        </xdr:from>
        <xdr:to>
          <xdr:col>3</xdr:col>
          <xdr:colOff>552450</xdr:colOff>
          <xdr:row>73</xdr:row>
          <xdr:rowOff>9525</xdr:rowOff>
        </xdr:to>
        <xdr:sp macro="" textlink="">
          <xdr:nvSpPr>
            <xdr:cNvPr id="8237" name="Check Box 45" hidden="1">
              <a:extLst>
                <a:ext uri="{63B3BB69-23CF-44E3-9099-C40C66FF867C}">
                  <a14:compatExt spid="_x0000_s8237"/>
                </a:ext>
                <a:ext uri="{FF2B5EF4-FFF2-40B4-BE49-F238E27FC236}">
                  <a16:creationId xmlns:a16="http://schemas.microsoft.com/office/drawing/2014/main" id="{00000000-0008-0000-0800-00002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73</xdr:row>
          <xdr:rowOff>38100</xdr:rowOff>
        </xdr:from>
        <xdr:to>
          <xdr:col>3</xdr:col>
          <xdr:colOff>552450</xdr:colOff>
          <xdr:row>74</xdr:row>
          <xdr:rowOff>9525</xdr:rowOff>
        </xdr:to>
        <xdr:sp macro="" textlink="">
          <xdr:nvSpPr>
            <xdr:cNvPr id="8238" name="Check Box 46" hidden="1">
              <a:extLst>
                <a:ext uri="{63B3BB69-23CF-44E3-9099-C40C66FF867C}">
                  <a14:compatExt spid="_x0000_s8238"/>
                </a:ext>
                <a:ext uri="{FF2B5EF4-FFF2-40B4-BE49-F238E27FC236}">
                  <a16:creationId xmlns:a16="http://schemas.microsoft.com/office/drawing/2014/main" id="{00000000-0008-0000-0800-00002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73</xdr:row>
          <xdr:rowOff>38100</xdr:rowOff>
        </xdr:from>
        <xdr:to>
          <xdr:col>3</xdr:col>
          <xdr:colOff>552450</xdr:colOff>
          <xdr:row>74</xdr:row>
          <xdr:rowOff>9525</xdr:rowOff>
        </xdr:to>
        <xdr:sp macro="" textlink="">
          <xdr:nvSpPr>
            <xdr:cNvPr id="8239" name="Check Box 47" hidden="1">
              <a:extLst>
                <a:ext uri="{63B3BB69-23CF-44E3-9099-C40C66FF867C}">
                  <a14:compatExt spid="_x0000_s8239"/>
                </a:ext>
                <a:ext uri="{FF2B5EF4-FFF2-40B4-BE49-F238E27FC236}">
                  <a16:creationId xmlns:a16="http://schemas.microsoft.com/office/drawing/2014/main" id="{00000000-0008-0000-0800-00002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73</xdr:row>
          <xdr:rowOff>38100</xdr:rowOff>
        </xdr:from>
        <xdr:to>
          <xdr:col>3</xdr:col>
          <xdr:colOff>552450</xdr:colOff>
          <xdr:row>74</xdr:row>
          <xdr:rowOff>9525</xdr:rowOff>
        </xdr:to>
        <xdr:sp macro="" textlink="">
          <xdr:nvSpPr>
            <xdr:cNvPr id="8240" name="Check Box 48" hidden="1">
              <a:extLst>
                <a:ext uri="{63B3BB69-23CF-44E3-9099-C40C66FF867C}">
                  <a14:compatExt spid="_x0000_s8240"/>
                </a:ext>
                <a:ext uri="{FF2B5EF4-FFF2-40B4-BE49-F238E27FC236}">
                  <a16:creationId xmlns:a16="http://schemas.microsoft.com/office/drawing/2014/main" id="{00000000-0008-0000-0800-00003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73</xdr:row>
          <xdr:rowOff>38100</xdr:rowOff>
        </xdr:from>
        <xdr:to>
          <xdr:col>3</xdr:col>
          <xdr:colOff>552450</xdr:colOff>
          <xdr:row>74</xdr:row>
          <xdr:rowOff>9525</xdr:rowOff>
        </xdr:to>
        <xdr:sp macro="" textlink="">
          <xdr:nvSpPr>
            <xdr:cNvPr id="8241" name="Check Box 49" hidden="1">
              <a:extLst>
                <a:ext uri="{63B3BB69-23CF-44E3-9099-C40C66FF867C}">
                  <a14:compatExt spid="_x0000_s8241"/>
                </a:ext>
                <a:ext uri="{FF2B5EF4-FFF2-40B4-BE49-F238E27FC236}">
                  <a16:creationId xmlns:a16="http://schemas.microsoft.com/office/drawing/2014/main" id="{00000000-0008-0000-0800-00003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73</xdr:row>
          <xdr:rowOff>38100</xdr:rowOff>
        </xdr:from>
        <xdr:to>
          <xdr:col>3</xdr:col>
          <xdr:colOff>552450</xdr:colOff>
          <xdr:row>74</xdr:row>
          <xdr:rowOff>9525</xdr:rowOff>
        </xdr:to>
        <xdr:sp macro="" textlink="">
          <xdr:nvSpPr>
            <xdr:cNvPr id="8242" name="Check Box 50" hidden="1">
              <a:extLst>
                <a:ext uri="{63B3BB69-23CF-44E3-9099-C40C66FF867C}">
                  <a14:compatExt spid="_x0000_s8242"/>
                </a:ext>
                <a:ext uri="{FF2B5EF4-FFF2-40B4-BE49-F238E27FC236}">
                  <a16:creationId xmlns:a16="http://schemas.microsoft.com/office/drawing/2014/main" id="{00000000-0008-0000-0800-00003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74</xdr:row>
          <xdr:rowOff>38100</xdr:rowOff>
        </xdr:from>
        <xdr:to>
          <xdr:col>3</xdr:col>
          <xdr:colOff>552450</xdr:colOff>
          <xdr:row>75</xdr:row>
          <xdr:rowOff>9525</xdr:rowOff>
        </xdr:to>
        <xdr:sp macro="" textlink="">
          <xdr:nvSpPr>
            <xdr:cNvPr id="8243" name="Check Box 51" hidden="1">
              <a:extLst>
                <a:ext uri="{63B3BB69-23CF-44E3-9099-C40C66FF867C}">
                  <a14:compatExt spid="_x0000_s8243"/>
                </a:ext>
                <a:ext uri="{FF2B5EF4-FFF2-40B4-BE49-F238E27FC236}">
                  <a16:creationId xmlns:a16="http://schemas.microsoft.com/office/drawing/2014/main" id="{00000000-0008-0000-0800-00003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73</xdr:row>
          <xdr:rowOff>38100</xdr:rowOff>
        </xdr:from>
        <xdr:to>
          <xdr:col>1</xdr:col>
          <xdr:colOff>552450</xdr:colOff>
          <xdr:row>74</xdr:row>
          <xdr:rowOff>9525</xdr:rowOff>
        </xdr:to>
        <xdr:sp macro="" textlink="">
          <xdr:nvSpPr>
            <xdr:cNvPr id="8244" name="Check Box 52" hidden="1">
              <a:extLst>
                <a:ext uri="{63B3BB69-23CF-44E3-9099-C40C66FF867C}">
                  <a14:compatExt spid="_x0000_s8244"/>
                </a:ext>
                <a:ext uri="{FF2B5EF4-FFF2-40B4-BE49-F238E27FC236}">
                  <a16:creationId xmlns:a16="http://schemas.microsoft.com/office/drawing/2014/main" id="{00000000-0008-0000-0800-00003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74</xdr:row>
          <xdr:rowOff>38100</xdr:rowOff>
        </xdr:from>
        <xdr:to>
          <xdr:col>1</xdr:col>
          <xdr:colOff>552450</xdr:colOff>
          <xdr:row>75</xdr:row>
          <xdr:rowOff>9525</xdr:rowOff>
        </xdr:to>
        <xdr:sp macro="" textlink="">
          <xdr:nvSpPr>
            <xdr:cNvPr id="8245" name="Check Box 53" hidden="1">
              <a:extLst>
                <a:ext uri="{63B3BB69-23CF-44E3-9099-C40C66FF867C}">
                  <a14:compatExt spid="_x0000_s8245"/>
                </a:ext>
                <a:ext uri="{FF2B5EF4-FFF2-40B4-BE49-F238E27FC236}">
                  <a16:creationId xmlns:a16="http://schemas.microsoft.com/office/drawing/2014/main" id="{00000000-0008-0000-0800-00003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72</xdr:row>
          <xdr:rowOff>38100</xdr:rowOff>
        </xdr:from>
        <xdr:to>
          <xdr:col>1</xdr:col>
          <xdr:colOff>552450</xdr:colOff>
          <xdr:row>73</xdr:row>
          <xdr:rowOff>9525</xdr:rowOff>
        </xdr:to>
        <xdr:sp macro="" textlink="">
          <xdr:nvSpPr>
            <xdr:cNvPr id="8246" name="Check Box 54" hidden="1">
              <a:extLst>
                <a:ext uri="{63B3BB69-23CF-44E3-9099-C40C66FF867C}">
                  <a14:compatExt spid="_x0000_s8246"/>
                </a:ext>
                <a:ext uri="{FF2B5EF4-FFF2-40B4-BE49-F238E27FC236}">
                  <a16:creationId xmlns:a16="http://schemas.microsoft.com/office/drawing/2014/main" id="{00000000-0008-0000-0800-00003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2314575</xdr:colOff>
          <xdr:row>37</xdr:row>
          <xdr:rowOff>0</xdr:rowOff>
        </xdr:from>
        <xdr:to>
          <xdr:col>5</xdr:col>
          <xdr:colOff>47625</xdr:colOff>
          <xdr:row>37</xdr:row>
          <xdr:rowOff>152400</xdr:rowOff>
        </xdr:to>
        <xdr:sp macro="" textlink="">
          <xdr:nvSpPr>
            <xdr:cNvPr id="8247" name="Check Box 55" hidden="1">
              <a:extLst>
                <a:ext uri="{63B3BB69-23CF-44E3-9099-C40C66FF867C}">
                  <a14:compatExt spid="_x0000_s8247"/>
                </a:ext>
                <a:ext uri="{FF2B5EF4-FFF2-40B4-BE49-F238E27FC236}">
                  <a16:creationId xmlns:a16="http://schemas.microsoft.com/office/drawing/2014/main" id="{00000000-0008-0000-0800-00003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2314575</xdr:colOff>
          <xdr:row>38</xdr:row>
          <xdr:rowOff>0</xdr:rowOff>
        </xdr:from>
        <xdr:to>
          <xdr:col>5</xdr:col>
          <xdr:colOff>47625</xdr:colOff>
          <xdr:row>38</xdr:row>
          <xdr:rowOff>152400</xdr:rowOff>
        </xdr:to>
        <xdr:sp macro="" textlink="">
          <xdr:nvSpPr>
            <xdr:cNvPr id="8248" name="Check Box 56" hidden="1">
              <a:extLst>
                <a:ext uri="{63B3BB69-23CF-44E3-9099-C40C66FF867C}">
                  <a14:compatExt spid="_x0000_s8248"/>
                </a:ext>
                <a:ext uri="{FF2B5EF4-FFF2-40B4-BE49-F238E27FC236}">
                  <a16:creationId xmlns:a16="http://schemas.microsoft.com/office/drawing/2014/main" id="{00000000-0008-0000-0800-00003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2314575</xdr:colOff>
          <xdr:row>39</xdr:row>
          <xdr:rowOff>0</xdr:rowOff>
        </xdr:from>
        <xdr:to>
          <xdr:col>5</xdr:col>
          <xdr:colOff>47625</xdr:colOff>
          <xdr:row>39</xdr:row>
          <xdr:rowOff>152400</xdr:rowOff>
        </xdr:to>
        <xdr:sp macro="" textlink="">
          <xdr:nvSpPr>
            <xdr:cNvPr id="8249" name="Check Box 57" hidden="1">
              <a:extLst>
                <a:ext uri="{63B3BB69-23CF-44E3-9099-C40C66FF867C}">
                  <a14:compatExt spid="_x0000_s8249"/>
                </a:ext>
                <a:ext uri="{FF2B5EF4-FFF2-40B4-BE49-F238E27FC236}">
                  <a16:creationId xmlns:a16="http://schemas.microsoft.com/office/drawing/2014/main" id="{00000000-0008-0000-0800-00003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2314575</xdr:colOff>
          <xdr:row>40</xdr:row>
          <xdr:rowOff>0</xdr:rowOff>
        </xdr:from>
        <xdr:to>
          <xdr:col>5</xdr:col>
          <xdr:colOff>47625</xdr:colOff>
          <xdr:row>40</xdr:row>
          <xdr:rowOff>152400</xdr:rowOff>
        </xdr:to>
        <xdr:sp macro="" textlink="">
          <xdr:nvSpPr>
            <xdr:cNvPr id="8250" name="Check Box 58" hidden="1">
              <a:extLst>
                <a:ext uri="{63B3BB69-23CF-44E3-9099-C40C66FF867C}">
                  <a14:compatExt spid="_x0000_s8250"/>
                </a:ext>
                <a:ext uri="{FF2B5EF4-FFF2-40B4-BE49-F238E27FC236}">
                  <a16:creationId xmlns:a16="http://schemas.microsoft.com/office/drawing/2014/main" id="{00000000-0008-0000-0800-00003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2314575</xdr:colOff>
          <xdr:row>41</xdr:row>
          <xdr:rowOff>0</xdr:rowOff>
        </xdr:from>
        <xdr:to>
          <xdr:col>5</xdr:col>
          <xdr:colOff>47625</xdr:colOff>
          <xdr:row>41</xdr:row>
          <xdr:rowOff>152400</xdr:rowOff>
        </xdr:to>
        <xdr:sp macro="" textlink="">
          <xdr:nvSpPr>
            <xdr:cNvPr id="8251" name="Check Box 59" hidden="1">
              <a:extLst>
                <a:ext uri="{63B3BB69-23CF-44E3-9099-C40C66FF867C}">
                  <a14:compatExt spid="_x0000_s8251"/>
                </a:ext>
                <a:ext uri="{FF2B5EF4-FFF2-40B4-BE49-F238E27FC236}">
                  <a16:creationId xmlns:a16="http://schemas.microsoft.com/office/drawing/2014/main" id="{00000000-0008-0000-0800-00003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2314575</xdr:colOff>
          <xdr:row>42</xdr:row>
          <xdr:rowOff>0</xdr:rowOff>
        </xdr:from>
        <xdr:to>
          <xdr:col>5</xdr:col>
          <xdr:colOff>47625</xdr:colOff>
          <xdr:row>42</xdr:row>
          <xdr:rowOff>152400</xdr:rowOff>
        </xdr:to>
        <xdr:sp macro="" textlink="">
          <xdr:nvSpPr>
            <xdr:cNvPr id="8252" name="Check Box 60" hidden="1">
              <a:extLst>
                <a:ext uri="{63B3BB69-23CF-44E3-9099-C40C66FF867C}">
                  <a14:compatExt spid="_x0000_s8252"/>
                </a:ext>
                <a:ext uri="{FF2B5EF4-FFF2-40B4-BE49-F238E27FC236}">
                  <a16:creationId xmlns:a16="http://schemas.microsoft.com/office/drawing/2014/main" id="{00000000-0008-0000-0800-00003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38</xdr:row>
          <xdr:rowOff>38100</xdr:rowOff>
        </xdr:from>
        <xdr:to>
          <xdr:col>1</xdr:col>
          <xdr:colOff>552450</xdr:colOff>
          <xdr:row>39</xdr:row>
          <xdr:rowOff>9525</xdr:rowOff>
        </xdr:to>
        <xdr:sp macro="" textlink="">
          <xdr:nvSpPr>
            <xdr:cNvPr id="8253" name="Check Box 61" hidden="1">
              <a:extLst>
                <a:ext uri="{63B3BB69-23CF-44E3-9099-C40C66FF867C}">
                  <a14:compatExt spid="_x0000_s8253"/>
                </a:ext>
                <a:ext uri="{FF2B5EF4-FFF2-40B4-BE49-F238E27FC236}">
                  <a16:creationId xmlns:a16="http://schemas.microsoft.com/office/drawing/2014/main" id="{00000000-0008-0000-0800-00003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47</xdr:row>
          <xdr:rowOff>38100</xdr:rowOff>
        </xdr:from>
        <xdr:to>
          <xdr:col>1</xdr:col>
          <xdr:colOff>552450</xdr:colOff>
          <xdr:row>48</xdr:row>
          <xdr:rowOff>9525</xdr:rowOff>
        </xdr:to>
        <xdr:sp macro="" textlink="">
          <xdr:nvSpPr>
            <xdr:cNvPr id="8254" name="Check Box 62" hidden="1">
              <a:extLst>
                <a:ext uri="{63B3BB69-23CF-44E3-9099-C40C66FF867C}">
                  <a14:compatExt spid="_x0000_s8254"/>
                </a:ext>
                <a:ext uri="{FF2B5EF4-FFF2-40B4-BE49-F238E27FC236}">
                  <a16:creationId xmlns:a16="http://schemas.microsoft.com/office/drawing/2014/main" id="{00000000-0008-0000-0800-00003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48</xdr:row>
          <xdr:rowOff>38100</xdr:rowOff>
        </xdr:from>
        <xdr:to>
          <xdr:col>1</xdr:col>
          <xdr:colOff>552450</xdr:colOff>
          <xdr:row>49</xdr:row>
          <xdr:rowOff>9525</xdr:rowOff>
        </xdr:to>
        <xdr:sp macro="" textlink="">
          <xdr:nvSpPr>
            <xdr:cNvPr id="8255" name="Check Box 63" hidden="1">
              <a:extLst>
                <a:ext uri="{63B3BB69-23CF-44E3-9099-C40C66FF867C}">
                  <a14:compatExt spid="_x0000_s8255"/>
                </a:ext>
                <a:ext uri="{FF2B5EF4-FFF2-40B4-BE49-F238E27FC236}">
                  <a16:creationId xmlns:a16="http://schemas.microsoft.com/office/drawing/2014/main" id="{00000000-0008-0000-0800-00003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49</xdr:row>
          <xdr:rowOff>38100</xdr:rowOff>
        </xdr:from>
        <xdr:to>
          <xdr:col>1</xdr:col>
          <xdr:colOff>552450</xdr:colOff>
          <xdr:row>50</xdr:row>
          <xdr:rowOff>0</xdr:rowOff>
        </xdr:to>
        <xdr:sp macro="" textlink="">
          <xdr:nvSpPr>
            <xdr:cNvPr id="8256" name="Check Box 64" hidden="1">
              <a:extLst>
                <a:ext uri="{63B3BB69-23CF-44E3-9099-C40C66FF867C}">
                  <a14:compatExt spid="_x0000_s8256"/>
                </a:ext>
                <a:ext uri="{FF2B5EF4-FFF2-40B4-BE49-F238E27FC236}">
                  <a16:creationId xmlns:a16="http://schemas.microsoft.com/office/drawing/2014/main" id="{00000000-0008-0000-0800-00004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50</xdr:row>
          <xdr:rowOff>38100</xdr:rowOff>
        </xdr:from>
        <xdr:to>
          <xdr:col>1</xdr:col>
          <xdr:colOff>552450</xdr:colOff>
          <xdr:row>51</xdr:row>
          <xdr:rowOff>0</xdr:rowOff>
        </xdr:to>
        <xdr:sp macro="" textlink="">
          <xdr:nvSpPr>
            <xdr:cNvPr id="8257" name="Check Box 65" hidden="1">
              <a:extLst>
                <a:ext uri="{63B3BB69-23CF-44E3-9099-C40C66FF867C}">
                  <a14:compatExt spid="_x0000_s8257"/>
                </a:ext>
                <a:ext uri="{FF2B5EF4-FFF2-40B4-BE49-F238E27FC236}">
                  <a16:creationId xmlns:a16="http://schemas.microsoft.com/office/drawing/2014/main" id="{00000000-0008-0000-0800-00004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51</xdr:row>
          <xdr:rowOff>38100</xdr:rowOff>
        </xdr:from>
        <xdr:to>
          <xdr:col>1</xdr:col>
          <xdr:colOff>552450</xdr:colOff>
          <xdr:row>52</xdr:row>
          <xdr:rowOff>9525</xdr:rowOff>
        </xdr:to>
        <xdr:sp macro="" textlink="">
          <xdr:nvSpPr>
            <xdr:cNvPr id="8258" name="Check Box 66" hidden="1">
              <a:extLst>
                <a:ext uri="{63B3BB69-23CF-44E3-9099-C40C66FF867C}">
                  <a14:compatExt spid="_x0000_s8258"/>
                </a:ext>
                <a:ext uri="{FF2B5EF4-FFF2-40B4-BE49-F238E27FC236}">
                  <a16:creationId xmlns:a16="http://schemas.microsoft.com/office/drawing/2014/main" id="{00000000-0008-0000-0800-00004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52</xdr:row>
          <xdr:rowOff>38100</xdr:rowOff>
        </xdr:from>
        <xdr:to>
          <xdr:col>1</xdr:col>
          <xdr:colOff>552450</xdr:colOff>
          <xdr:row>53</xdr:row>
          <xdr:rowOff>9525</xdr:rowOff>
        </xdr:to>
        <xdr:sp macro="" textlink="">
          <xdr:nvSpPr>
            <xdr:cNvPr id="8259" name="Check Box 67" hidden="1">
              <a:extLst>
                <a:ext uri="{63B3BB69-23CF-44E3-9099-C40C66FF867C}">
                  <a14:compatExt spid="_x0000_s8259"/>
                </a:ext>
                <a:ext uri="{FF2B5EF4-FFF2-40B4-BE49-F238E27FC236}">
                  <a16:creationId xmlns:a16="http://schemas.microsoft.com/office/drawing/2014/main" id="{00000000-0008-0000-0800-00004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53</xdr:row>
          <xdr:rowOff>38100</xdr:rowOff>
        </xdr:from>
        <xdr:to>
          <xdr:col>1</xdr:col>
          <xdr:colOff>552450</xdr:colOff>
          <xdr:row>54</xdr:row>
          <xdr:rowOff>9525</xdr:rowOff>
        </xdr:to>
        <xdr:sp macro="" textlink="">
          <xdr:nvSpPr>
            <xdr:cNvPr id="8260" name="Check Box 68" hidden="1">
              <a:extLst>
                <a:ext uri="{63B3BB69-23CF-44E3-9099-C40C66FF867C}">
                  <a14:compatExt spid="_x0000_s8260"/>
                </a:ext>
                <a:ext uri="{FF2B5EF4-FFF2-40B4-BE49-F238E27FC236}">
                  <a16:creationId xmlns:a16="http://schemas.microsoft.com/office/drawing/2014/main" id="{00000000-0008-0000-0800-00004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54</xdr:row>
          <xdr:rowOff>38100</xdr:rowOff>
        </xdr:from>
        <xdr:to>
          <xdr:col>1</xdr:col>
          <xdr:colOff>552450</xdr:colOff>
          <xdr:row>55</xdr:row>
          <xdr:rowOff>9525</xdr:rowOff>
        </xdr:to>
        <xdr:sp macro="" textlink="">
          <xdr:nvSpPr>
            <xdr:cNvPr id="8261" name="Check Box 69" hidden="1">
              <a:extLst>
                <a:ext uri="{63B3BB69-23CF-44E3-9099-C40C66FF867C}">
                  <a14:compatExt spid="_x0000_s8261"/>
                </a:ext>
                <a:ext uri="{FF2B5EF4-FFF2-40B4-BE49-F238E27FC236}">
                  <a16:creationId xmlns:a16="http://schemas.microsoft.com/office/drawing/2014/main" id="{00000000-0008-0000-0800-00004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55</xdr:row>
          <xdr:rowOff>38100</xdr:rowOff>
        </xdr:from>
        <xdr:to>
          <xdr:col>1</xdr:col>
          <xdr:colOff>552450</xdr:colOff>
          <xdr:row>56</xdr:row>
          <xdr:rowOff>9525</xdr:rowOff>
        </xdr:to>
        <xdr:sp macro="" textlink="">
          <xdr:nvSpPr>
            <xdr:cNvPr id="8262" name="Check Box 70" hidden="1">
              <a:extLst>
                <a:ext uri="{63B3BB69-23CF-44E3-9099-C40C66FF867C}">
                  <a14:compatExt spid="_x0000_s8262"/>
                </a:ext>
                <a:ext uri="{FF2B5EF4-FFF2-40B4-BE49-F238E27FC236}">
                  <a16:creationId xmlns:a16="http://schemas.microsoft.com/office/drawing/2014/main" id="{00000000-0008-0000-0800-00004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56</xdr:row>
          <xdr:rowOff>38100</xdr:rowOff>
        </xdr:from>
        <xdr:to>
          <xdr:col>1</xdr:col>
          <xdr:colOff>552450</xdr:colOff>
          <xdr:row>57</xdr:row>
          <xdr:rowOff>9525</xdr:rowOff>
        </xdr:to>
        <xdr:sp macro="" textlink="">
          <xdr:nvSpPr>
            <xdr:cNvPr id="8263" name="Check Box 71" hidden="1">
              <a:extLst>
                <a:ext uri="{63B3BB69-23CF-44E3-9099-C40C66FF867C}">
                  <a14:compatExt spid="_x0000_s8263"/>
                </a:ext>
                <a:ext uri="{FF2B5EF4-FFF2-40B4-BE49-F238E27FC236}">
                  <a16:creationId xmlns:a16="http://schemas.microsoft.com/office/drawing/2014/main" id="{00000000-0008-0000-0800-00004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47</xdr:row>
          <xdr:rowOff>38100</xdr:rowOff>
        </xdr:from>
        <xdr:to>
          <xdr:col>3</xdr:col>
          <xdr:colOff>552450</xdr:colOff>
          <xdr:row>48</xdr:row>
          <xdr:rowOff>9525</xdr:rowOff>
        </xdr:to>
        <xdr:sp macro="" textlink="">
          <xdr:nvSpPr>
            <xdr:cNvPr id="8264" name="Check Box 72" hidden="1">
              <a:extLst>
                <a:ext uri="{63B3BB69-23CF-44E3-9099-C40C66FF867C}">
                  <a14:compatExt spid="_x0000_s8264"/>
                </a:ext>
                <a:ext uri="{FF2B5EF4-FFF2-40B4-BE49-F238E27FC236}">
                  <a16:creationId xmlns:a16="http://schemas.microsoft.com/office/drawing/2014/main" id="{00000000-0008-0000-0800-00004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48</xdr:row>
          <xdr:rowOff>38100</xdr:rowOff>
        </xdr:from>
        <xdr:to>
          <xdr:col>3</xdr:col>
          <xdr:colOff>552450</xdr:colOff>
          <xdr:row>49</xdr:row>
          <xdr:rowOff>9525</xdr:rowOff>
        </xdr:to>
        <xdr:sp macro="" textlink="">
          <xdr:nvSpPr>
            <xdr:cNvPr id="8265" name="Check Box 73" hidden="1">
              <a:extLst>
                <a:ext uri="{63B3BB69-23CF-44E3-9099-C40C66FF867C}">
                  <a14:compatExt spid="_x0000_s8265"/>
                </a:ext>
                <a:ext uri="{FF2B5EF4-FFF2-40B4-BE49-F238E27FC236}">
                  <a16:creationId xmlns:a16="http://schemas.microsoft.com/office/drawing/2014/main" id="{00000000-0008-0000-0800-00004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50</xdr:row>
          <xdr:rowOff>38100</xdr:rowOff>
        </xdr:from>
        <xdr:to>
          <xdr:col>3</xdr:col>
          <xdr:colOff>552450</xdr:colOff>
          <xdr:row>51</xdr:row>
          <xdr:rowOff>0</xdr:rowOff>
        </xdr:to>
        <xdr:sp macro="" textlink="">
          <xdr:nvSpPr>
            <xdr:cNvPr id="8266" name="Check Box 74" hidden="1">
              <a:extLst>
                <a:ext uri="{63B3BB69-23CF-44E3-9099-C40C66FF867C}">
                  <a14:compatExt spid="_x0000_s8266"/>
                </a:ext>
                <a:ext uri="{FF2B5EF4-FFF2-40B4-BE49-F238E27FC236}">
                  <a16:creationId xmlns:a16="http://schemas.microsoft.com/office/drawing/2014/main" id="{00000000-0008-0000-0800-00004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49</xdr:row>
          <xdr:rowOff>38100</xdr:rowOff>
        </xdr:from>
        <xdr:to>
          <xdr:col>3</xdr:col>
          <xdr:colOff>552450</xdr:colOff>
          <xdr:row>50</xdr:row>
          <xdr:rowOff>0</xdr:rowOff>
        </xdr:to>
        <xdr:sp macro="" textlink="">
          <xdr:nvSpPr>
            <xdr:cNvPr id="8267" name="Check Box 75" hidden="1">
              <a:extLst>
                <a:ext uri="{63B3BB69-23CF-44E3-9099-C40C66FF867C}">
                  <a14:compatExt spid="_x0000_s8267"/>
                </a:ext>
                <a:ext uri="{FF2B5EF4-FFF2-40B4-BE49-F238E27FC236}">
                  <a16:creationId xmlns:a16="http://schemas.microsoft.com/office/drawing/2014/main" id="{00000000-0008-0000-0800-00004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51</xdr:row>
          <xdr:rowOff>38100</xdr:rowOff>
        </xdr:from>
        <xdr:to>
          <xdr:col>3</xdr:col>
          <xdr:colOff>552450</xdr:colOff>
          <xdr:row>52</xdr:row>
          <xdr:rowOff>9525</xdr:rowOff>
        </xdr:to>
        <xdr:sp macro="" textlink="">
          <xdr:nvSpPr>
            <xdr:cNvPr id="8268" name="Check Box 76" hidden="1">
              <a:extLst>
                <a:ext uri="{63B3BB69-23CF-44E3-9099-C40C66FF867C}">
                  <a14:compatExt spid="_x0000_s8268"/>
                </a:ext>
                <a:ext uri="{FF2B5EF4-FFF2-40B4-BE49-F238E27FC236}">
                  <a16:creationId xmlns:a16="http://schemas.microsoft.com/office/drawing/2014/main" id="{00000000-0008-0000-0800-00004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285750</xdr:colOff>
          <xdr:row>52</xdr:row>
          <xdr:rowOff>38100</xdr:rowOff>
        </xdr:from>
        <xdr:to>
          <xdr:col>3</xdr:col>
          <xdr:colOff>552450</xdr:colOff>
          <xdr:row>53</xdr:row>
          <xdr:rowOff>9525</xdr:rowOff>
        </xdr:to>
        <xdr:sp macro="" textlink="">
          <xdr:nvSpPr>
            <xdr:cNvPr id="8269" name="Check Box 77" hidden="1">
              <a:extLst>
                <a:ext uri="{63B3BB69-23CF-44E3-9099-C40C66FF867C}">
                  <a14:compatExt spid="_x0000_s8269"/>
                </a:ext>
                <a:ext uri="{FF2B5EF4-FFF2-40B4-BE49-F238E27FC236}">
                  <a16:creationId xmlns:a16="http://schemas.microsoft.com/office/drawing/2014/main" id="{00000000-0008-0000-0800-00004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47</xdr:row>
          <xdr:rowOff>38100</xdr:rowOff>
        </xdr:from>
        <xdr:to>
          <xdr:col>6</xdr:col>
          <xdr:colOff>552450</xdr:colOff>
          <xdr:row>48</xdr:row>
          <xdr:rowOff>9525</xdr:rowOff>
        </xdr:to>
        <xdr:sp macro="" textlink="">
          <xdr:nvSpPr>
            <xdr:cNvPr id="8270" name="Check Box 78" hidden="1">
              <a:extLst>
                <a:ext uri="{63B3BB69-23CF-44E3-9099-C40C66FF867C}">
                  <a14:compatExt spid="_x0000_s8270"/>
                </a:ext>
                <a:ext uri="{FF2B5EF4-FFF2-40B4-BE49-F238E27FC236}">
                  <a16:creationId xmlns:a16="http://schemas.microsoft.com/office/drawing/2014/main" id="{00000000-0008-0000-0800-00004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48</xdr:row>
          <xdr:rowOff>38100</xdr:rowOff>
        </xdr:from>
        <xdr:to>
          <xdr:col>6</xdr:col>
          <xdr:colOff>552450</xdr:colOff>
          <xdr:row>49</xdr:row>
          <xdr:rowOff>9525</xdr:rowOff>
        </xdr:to>
        <xdr:sp macro="" textlink="">
          <xdr:nvSpPr>
            <xdr:cNvPr id="8271" name="Check Box 79" hidden="1">
              <a:extLst>
                <a:ext uri="{63B3BB69-23CF-44E3-9099-C40C66FF867C}">
                  <a14:compatExt spid="_x0000_s8271"/>
                </a:ext>
                <a:ext uri="{FF2B5EF4-FFF2-40B4-BE49-F238E27FC236}">
                  <a16:creationId xmlns:a16="http://schemas.microsoft.com/office/drawing/2014/main" id="{00000000-0008-0000-0800-00004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50</xdr:row>
          <xdr:rowOff>38100</xdr:rowOff>
        </xdr:from>
        <xdr:to>
          <xdr:col>6</xdr:col>
          <xdr:colOff>552450</xdr:colOff>
          <xdr:row>51</xdr:row>
          <xdr:rowOff>0</xdr:rowOff>
        </xdr:to>
        <xdr:sp macro="" textlink="">
          <xdr:nvSpPr>
            <xdr:cNvPr id="8272" name="Check Box 80" hidden="1">
              <a:extLst>
                <a:ext uri="{63B3BB69-23CF-44E3-9099-C40C66FF867C}">
                  <a14:compatExt spid="_x0000_s8272"/>
                </a:ext>
                <a:ext uri="{FF2B5EF4-FFF2-40B4-BE49-F238E27FC236}">
                  <a16:creationId xmlns:a16="http://schemas.microsoft.com/office/drawing/2014/main" id="{00000000-0008-0000-0800-00005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285750</xdr:colOff>
          <xdr:row>49</xdr:row>
          <xdr:rowOff>38100</xdr:rowOff>
        </xdr:from>
        <xdr:to>
          <xdr:col>6</xdr:col>
          <xdr:colOff>552450</xdr:colOff>
          <xdr:row>50</xdr:row>
          <xdr:rowOff>0</xdr:rowOff>
        </xdr:to>
        <xdr:sp macro="" textlink="">
          <xdr:nvSpPr>
            <xdr:cNvPr id="8273" name="Check Box 81" hidden="1">
              <a:extLst>
                <a:ext uri="{63B3BB69-23CF-44E3-9099-C40C66FF867C}">
                  <a14:compatExt spid="_x0000_s8273"/>
                </a:ext>
                <a:ext uri="{FF2B5EF4-FFF2-40B4-BE49-F238E27FC236}">
                  <a16:creationId xmlns:a16="http://schemas.microsoft.com/office/drawing/2014/main" id="{00000000-0008-0000-0800-00005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2314575</xdr:colOff>
          <xdr:row>37</xdr:row>
          <xdr:rowOff>0</xdr:rowOff>
        </xdr:from>
        <xdr:to>
          <xdr:col>5</xdr:col>
          <xdr:colOff>47625</xdr:colOff>
          <xdr:row>37</xdr:row>
          <xdr:rowOff>152400</xdr:rowOff>
        </xdr:to>
        <xdr:sp macro="" textlink="">
          <xdr:nvSpPr>
            <xdr:cNvPr id="8274" name="Check Box 82" hidden="1">
              <a:extLst>
                <a:ext uri="{63B3BB69-23CF-44E3-9099-C40C66FF867C}">
                  <a14:compatExt spid="_x0000_s8274"/>
                </a:ext>
                <a:ext uri="{FF2B5EF4-FFF2-40B4-BE49-F238E27FC236}">
                  <a16:creationId xmlns:a16="http://schemas.microsoft.com/office/drawing/2014/main" id="{00000000-0008-0000-0800-00005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Bock, Bryan" id="{539CCB64-F552-4ADD-8E8A-5748070FFEE0}" userId="S::bbock@kpmg.com::77ad41a9-9aeb-4749-9b8f-084a607350e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25" dT="2023-06-22T13:19:05.26" personId="{539CCB64-F552-4ADD-8E8A-5748070FFEE0}" id="{038B1279-CB29-4B31-B834-D5A96A90004F}">
    <text>Enter the total dollar amount involved in the 
suspicious activity for the time period of this report. If the amount is unknown, leave this item 
blank</text>
  </threadedComment>
  <threadedComment ref="F27" dT="2023-06-22T13:22:23.74" personId="{539CCB64-F552-4ADD-8E8A-5748070FFEE0}" id="{FF6863A5-56E6-4E5A-98DD-FAFA8D360190}">
    <text>Only use this field when filing a continuing activity report.  This will add the previous filing amount to the new report amount</text>
  </threadedComment>
  <threadedComment ref="C30" dT="2023-06-22T14:22:59.35" personId="{539CCB64-F552-4ADD-8E8A-5748070FFEE0}" id="{A5333227-2AAB-4D93-9E46-BCB79A21C8BE}">
    <text>In section 32 Structuring, select the appropriate box. BSA refers to monetary instrument record keeping requirement at $3,000 and BSA refers to currency transactions greater than $10,000</text>
  </threadedComment>
  <threadedComment ref="C36" dT="2023-06-22T14:25:15.29" personId="{539CCB64-F552-4ADD-8E8A-5748070FFEE0}" id="{77F31797-F773-490C-81D7-9857DD1FC3A0}">
    <text>In section 36 Money Laundering, select applicable activities. Common selections are source of funds, EFT/wire transfer and use of multiple accounts</text>
  </threadedComment>
  <threadedComment ref="C46" dT="2023-06-22T14:25:15.29" personId="{539CCB64-F552-4ADD-8E8A-5748070FFEE0}" id="{CC685609-283C-4B96-A247-C2639AE662E3}">
    <text>In section 38 Other Suspicious Activities, select applicable activites related to the reported fraud. Common selections are Account Takover, Counterfeit Instruments, Elder Financial Explotation, Forgery, two or more invididuals working together</text>
  </threadedComment>
  <threadedComment ref="C59" dT="2023-06-22T14:28:56.61" personId="{539CCB64-F552-4ADD-8E8A-5748070FFEE0}" id="{AC94BA59-AA08-41C6-885B-6379DF423778}">
    <text>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ext>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mailto:m.johnson.chi@email.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16" Type="http://schemas.openxmlformats.org/officeDocument/2006/relationships/ctrlProp" Target="../ctrlProps/ctrlProp13.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85" Type="http://schemas.openxmlformats.org/officeDocument/2006/relationships/ctrlProp" Target="../ctrlProps/ctrlProp82.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83" Type="http://schemas.openxmlformats.org/officeDocument/2006/relationships/ctrlProp" Target="../ctrlProps/ctrlProp80.xml"/><Relationship Id="rId1" Type="http://schemas.openxmlformats.org/officeDocument/2006/relationships/printerSettings" Target="../printerSettings/printerSettings3.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trlProp" Target="../ctrlProps/ctrlProp78.xml"/><Relationship Id="rId86" Type="http://schemas.openxmlformats.org/officeDocument/2006/relationships/comments" Target="../comments1.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microsoft.com/office/2017/10/relationships/threadedComment" Target="../threadedComments/threadedComment1.xml"/><Relationship Id="rId61" Type="http://schemas.openxmlformats.org/officeDocument/2006/relationships/ctrlProp" Target="../ctrlProps/ctrlProp58.xml"/><Relationship Id="rId82" Type="http://schemas.openxmlformats.org/officeDocument/2006/relationships/ctrlProp" Target="../ctrlProps/ctrlProp7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7A900-67E7-49AA-BB6D-EECF78A71EC4}">
  <dimension ref="A1:E20"/>
  <sheetViews>
    <sheetView tabSelected="1" zoomScale="110" zoomScaleNormal="110" workbookViewId="0">
      <selection activeCell="E10" sqref="E10"/>
    </sheetView>
  </sheetViews>
  <sheetFormatPr defaultRowHeight="15" x14ac:dyDescent="0.25"/>
  <cols>
    <col min="1" max="1" width="8.7109375" customWidth="1"/>
    <col min="2" max="2" width="28.140625" customWidth="1"/>
    <col min="3" max="3" width="31.85546875" customWidth="1"/>
    <col min="4" max="4" width="63" customWidth="1"/>
    <col min="5" max="5" width="30" bestFit="1" customWidth="1"/>
  </cols>
  <sheetData>
    <row r="1" spans="1:5" ht="32.1" customHeight="1" x14ac:dyDescent="0.25">
      <c r="A1" s="105" t="s">
        <v>0</v>
      </c>
      <c r="B1" s="105"/>
      <c r="C1" s="105"/>
      <c r="D1" s="105"/>
    </row>
    <row r="2" spans="1:5" ht="27.95" customHeight="1" x14ac:dyDescent="0.25">
      <c r="A2" s="106" t="s">
        <v>1</v>
      </c>
      <c r="B2" s="106"/>
      <c r="C2" s="106"/>
      <c r="D2" s="106"/>
    </row>
    <row r="3" spans="1:5" ht="14.45" customHeight="1" x14ac:dyDescent="0.25"/>
    <row r="4" spans="1:5" ht="15.75" x14ac:dyDescent="0.25">
      <c r="A4" s="107" t="s">
        <v>2</v>
      </c>
      <c r="B4" s="107"/>
      <c r="C4" s="107"/>
      <c r="D4" s="107"/>
    </row>
    <row r="5" spans="1:5" ht="44.25" customHeight="1" x14ac:dyDescent="0.25">
      <c r="A5" s="108" t="s">
        <v>3</v>
      </c>
      <c r="B5" s="108"/>
      <c r="C5" s="108"/>
      <c r="D5" s="108"/>
    </row>
    <row r="6" spans="1:5" ht="14.45" customHeight="1" x14ac:dyDescent="0.25"/>
    <row r="7" spans="1:5" ht="27.95" customHeight="1" x14ac:dyDescent="0.25">
      <c r="A7" s="62" t="s">
        <v>4</v>
      </c>
      <c r="B7" s="63" t="s">
        <v>5</v>
      </c>
      <c r="C7" s="63" t="s">
        <v>6</v>
      </c>
      <c r="D7" s="64" t="s">
        <v>7</v>
      </c>
    </row>
    <row r="8" spans="1:5" ht="45" x14ac:dyDescent="0.25">
      <c r="A8" s="65">
        <v>1</v>
      </c>
      <c r="B8" s="66" t="s">
        <v>8</v>
      </c>
      <c r="C8" s="67" t="s">
        <v>9</v>
      </c>
      <c r="D8" s="68" t="s">
        <v>10</v>
      </c>
    </row>
    <row r="9" spans="1:5" ht="45" x14ac:dyDescent="0.25">
      <c r="A9" s="69">
        <v>2</v>
      </c>
      <c r="B9" s="70" t="s">
        <v>11</v>
      </c>
      <c r="C9" s="71" t="s">
        <v>12</v>
      </c>
      <c r="D9" s="72" t="s">
        <v>13</v>
      </c>
    </row>
    <row r="10" spans="1:5" ht="45" x14ac:dyDescent="0.25">
      <c r="A10" s="65">
        <v>3</v>
      </c>
      <c r="B10" s="66" t="s">
        <v>14</v>
      </c>
      <c r="C10" s="67" t="s">
        <v>15</v>
      </c>
      <c r="D10" s="68" t="s">
        <v>16</v>
      </c>
    </row>
    <row r="11" spans="1:5" ht="57.95" customHeight="1" x14ac:dyDescent="0.25">
      <c r="A11" s="69">
        <v>4</v>
      </c>
      <c r="B11" s="70" t="s">
        <v>17</v>
      </c>
      <c r="C11" s="71" t="s">
        <v>18</v>
      </c>
      <c r="D11" s="72" t="s">
        <v>19</v>
      </c>
    </row>
    <row r="12" spans="1:5" ht="57.95" customHeight="1" x14ac:dyDescent="0.25">
      <c r="A12" s="158">
        <v>5</v>
      </c>
      <c r="B12" s="159" t="s">
        <v>20</v>
      </c>
      <c r="C12" s="160" t="s">
        <v>21</v>
      </c>
      <c r="D12" s="161" t="s">
        <v>22</v>
      </c>
      <c r="E12" s="162" t="s">
        <v>484</v>
      </c>
    </row>
    <row r="13" spans="1:5" ht="60" x14ac:dyDescent="0.25">
      <c r="A13" s="158">
        <v>6</v>
      </c>
      <c r="B13" s="159" t="s">
        <v>23</v>
      </c>
      <c r="C13" s="160" t="s">
        <v>24</v>
      </c>
      <c r="D13" s="161" t="s">
        <v>25</v>
      </c>
      <c r="E13" s="162" t="s">
        <v>484</v>
      </c>
    </row>
    <row r="14" spans="1:5" ht="105" x14ac:dyDescent="0.25">
      <c r="A14" s="65">
        <v>7</v>
      </c>
      <c r="B14" s="66" t="s">
        <v>26</v>
      </c>
      <c r="C14" s="67" t="s">
        <v>27</v>
      </c>
      <c r="D14" s="68" t="s">
        <v>28</v>
      </c>
    </row>
    <row r="15" spans="1:5" ht="60" x14ac:dyDescent="0.25">
      <c r="A15" s="69">
        <v>8</v>
      </c>
      <c r="B15" s="70" t="s">
        <v>29</v>
      </c>
      <c r="C15" s="71" t="s">
        <v>30</v>
      </c>
      <c r="D15" s="72" t="s">
        <v>31</v>
      </c>
    </row>
    <row r="16" spans="1:5" ht="57.95" customHeight="1" x14ac:dyDescent="0.25">
      <c r="A16" s="65">
        <v>9</v>
      </c>
      <c r="B16" s="73" t="s">
        <v>32</v>
      </c>
      <c r="C16" s="74" t="s">
        <v>33</v>
      </c>
      <c r="D16" s="75" t="s">
        <v>34</v>
      </c>
    </row>
    <row r="18" spans="1:4" ht="14.45" customHeight="1" x14ac:dyDescent="0.25">
      <c r="A18" s="107" t="s">
        <v>35</v>
      </c>
      <c r="B18" s="107"/>
      <c r="C18" s="107"/>
      <c r="D18" s="107"/>
    </row>
    <row r="19" spans="1:4" ht="15.6" customHeight="1" x14ac:dyDescent="0.25">
      <c r="A19" s="109" t="s">
        <v>36</v>
      </c>
      <c r="B19" s="109"/>
      <c r="C19" s="109"/>
      <c r="D19" s="109"/>
    </row>
    <row r="20" spans="1:4" ht="14.45" customHeight="1" x14ac:dyDescent="0.25"/>
  </sheetData>
  <mergeCells count="6">
    <mergeCell ref="A1:D1"/>
    <mergeCell ref="A2:D2"/>
    <mergeCell ref="A4:D4"/>
    <mergeCell ref="A5:D5"/>
    <mergeCell ref="A19:D19"/>
    <mergeCell ref="A18:D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293F-8F62-458B-A4EC-43D596001424}">
  <dimension ref="A1:E25"/>
  <sheetViews>
    <sheetView showGridLines="0" workbookViewId="0">
      <selection activeCell="G34" sqref="G34"/>
    </sheetView>
  </sheetViews>
  <sheetFormatPr defaultRowHeight="15" x14ac:dyDescent="0.25"/>
  <cols>
    <col min="1" max="1" width="28.7109375" customWidth="1"/>
    <col min="2" max="2" width="15.85546875" bestFit="1" customWidth="1"/>
    <col min="3" max="3" width="12.5703125" customWidth="1"/>
    <col min="4" max="4" width="33.28515625" bestFit="1" customWidth="1"/>
    <col min="5" max="5" width="25.140625" bestFit="1" customWidth="1"/>
  </cols>
  <sheetData>
    <row r="1" spans="1:5" ht="21" x14ac:dyDescent="0.35">
      <c r="B1" s="42" t="s">
        <v>483</v>
      </c>
    </row>
    <row r="2" spans="1:5" x14ac:dyDescent="0.25">
      <c r="A2" s="110" t="s">
        <v>37</v>
      </c>
      <c r="B2" s="111"/>
      <c r="C2" s="112"/>
      <c r="D2" s="113" t="s">
        <v>38</v>
      </c>
      <c r="E2" s="114"/>
    </row>
    <row r="3" spans="1:5" x14ac:dyDescent="0.25">
      <c r="A3" t="s">
        <v>39</v>
      </c>
      <c r="B3" t="s">
        <v>40</v>
      </c>
      <c r="D3" t="s">
        <v>41</v>
      </c>
      <c r="E3" s="1">
        <v>45677</v>
      </c>
    </row>
    <row r="4" spans="1:5" x14ac:dyDescent="0.25">
      <c r="B4" t="s">
        <v>42</v>
      </c>
      <c r="D4" t="s">
        <v>43</v>
      </c>
      <c r="E4">
        <v>5839204716</v>
      </c>
    </row>
    <row r="5" spans="1:5" x14ac:dyDescent="0.25">
      <c r="B5" t="s">
        <v>44</v>
      </c>
    </row>
    <row r="6" spans="1:5" x14ac:dyDescent="0.25">
      <c r="D6" s="113" t="s">
        <v>45</v>
      </c>
      <c r="E6" s="114"/>
    </row>
    <row r="7" spans="1:5" x14ac:dyDescent="0.25">
      <c r="D7" t="s">
        <v>46</v>
      </c>
      <c r="E7" t="s">
        <v>47</v>
      </c>
    </row>
    <row r="8" spans="1:5" x14ac:dyDescent="0.25">
      <c r="A8" t="s">
        <v>48</v>
      </c>
      <c r="B8" t="s">
        <v>49</v>
      </c>
      <c r="D8" t="s">
        <v>50</v>
      </c>
      <c r="E8" s="56" t="s">
        <v>51</v>
      </c>
    </row>
    <row r="9" spans="1:5" x14ac:dyDescent="0.25">
      <c r="A9" t="s">
        <v>52</v>
      </c>
      <c r="B9" s="60">
        <v>31204</v>
      </c>
    </row>
    <row r="10" spans="1:5" x14ac:dyDescent="0.25">
      <c r="A10" t="s">
        <v>53</v>
      </c>
      <c r="B10" t="s">
        <v>54</v>
      </c>
    </row>
    <row r="11" spans="1:5" x14ac:dyDescent="0.25">
      <c r="A11" t="s">
        <v>55</v>
      </c>
      <c r="B11" t="s">
        <v>56</v>
      </c>
    </row>
    <row r="16" spans="1:5" x14ac:dyDescent="0.25">
      <c r="A16" s="43" t="s">
        <v>11</v>
      </c>
      <c r="B16" s="44" t="s">
        <v>57</v>
      </c>
      <c r="C16" s="44" t="s">
        <v>58</v>
      </c>
      <c r="D16" s="44" t="s">
        <v>59</v>
      </c>
      <c r="E16" s="45" t="s">
        <v>60</v>
      </c>
    </row>
    <row r="17" spans="1:5" x14ac:dyDescent="0.25">
      <c r="A17" s="40">
        <v>3478912057643</v>
      </c>
      <c r="B17" t="s">
        <v>61</v>
      </c>
      <c r="C17" t="s">
        <v>62</v>
      </c>
      <c r="D17" s="1">
        <v>45677</v>
      </c>
    </row>
    <row r="18" spans="1:5" x14ac:dyDescent="0.25">
      <c r="A18" s="40">
        <v>8514029736184</v>
      </c>
      <c r="B18" t="s">
        <v>63</v>
      </c>
      <c r="C18" t="s">
        <v>62</v>
      </c>
      <c r="D18" s="1">
        <v>46097</v>
      </c>
    </row>
    <row r="20" spans="1:5" x14ac:dyDescent="0.25">
      <c r="A20" s="110" t="s">
        <v>64</v>
      </c>
      <c r="B20" s="111"/>
      <c r="C20" s="111"/>
      <c r="D20" s="111"/>
      <c r="E20" s="114"/>
    </row>
    <row r="21" spans="1:5" x14ac:dyDescent="0.25">
      <c r="A21" t="s">
        <v>65</v>
      </c>
    </row>
    <row r="25" spans="1:5" x14ac:dyDescent="0.25">
      <c r="A25" s="157" t="s">
        <v>482</v>
      </c>
    </row>
  </sheetData>
  <mergeCells count="4">
    <mergeCell ref="A2:C2"/>
    <mergeCell ref="D2:E2"/>
    <mergeCell ref="D6:E6"/>
    <mergeCell ref="A20:E20"/>
  </mergeCells>
  <hyperlinks>
    <hyperlink ref="E8" r:id="rId1" display="m.johnson.chi@email.com" xr:uid="{C7BA6FEE-EF58-4DC8-AE38-4491EC661E3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375DF-EF88-4FD3-963B-682E4A49AE42}">
  <dimension ref="A1:H4"/>
  <sheetViews>
    <sheetView showGridLines="0" workbookViewId="0">
      <selection activeCell="D4" sqref="D4"/>
    </sheetView>
  </sheetViews>
  <sheetFormatPr defaultRowHeight="15" x14ac:dyDescent="0.25"/>
  <cols>
    <col min="1" max="1" width="8.140625" bestFit="1" customWidth="1"/>
    <col min="2" max="2" width="12.85546875" bestFit="1" customWidth="1"/>
    <col min="3" max="3" width="16.7109375" bestFit="1" customWidth="1"/>
    <col min="4" max="4" width="24.42578125" customWidth="1"/>
    <col min="5" max="5" width="26.5703125" bestFit="1" customWidth="1"/>
    <col min="6" max="6" width="6.42578125" bestFit="1" customWidth="1"/>
    <col min="7" max="7" width="10.42578125" bestFit="1" customWidth="1"/>
    <col min="8" max="8" width="11.5703125" bestFit="1" customWidth="1"/>
  </cols>
  <sheetData>
    <row r="1" spans="1:8" ht="21.75" thickBot="1" x14ac:dyDescent="0.4">
      <c r="C1" s="42" t="s">
        <v>483</v>
      </c>
    </row>
    <row r="2" spans="1:8" x14ac:dyDescent="0.25">
      <c r="A2" s="46" t="s">
        <v>66</v>
      </c>
      <c r="B2" s="47" t="s">
        <v>67</v>
      </c>
      <c r="C2" s="48" t="s">
        <v>68</v>
      </c>
      <c r="D2" s="46" t="s">
        <v>69</v>
      </c>
      <c r="E2" s="46" t="s">
        <v>70</v>
      </c>
      <c r="F2" s="46" t="s">
        <v>58</v>
      </c>
      <c r="G2" s="49" t="s">
        <v>59</v>
      </c>
      <c r="H2" s="49" t="s">
        <v>71</v>
      </c>
    </row>
    <row r="3" spans="1:8" x14ac:dyDescent="0.25">
      <c r="A3" t="s">
        <v>61</v>
      </c>
      <c r="B3" t="s">
        <v>72</v>
      </c>
      <c r="C3" s="40">
        <v>3478912057643</v>
      </c>
      <c r="D3" t="s">
        <v>483</v>
      </c>
      <c r="E3">
        <v>15</v>
      </c>
      <c r="F3" t="s">
        <v>62</v>
      </c>
      <c r="G3" s="1">
        <v>45677</v>
      </c>
    </row>
    <row r="4" spans="1:8" x14ac:dyDescent="0.25">
      <c r="A4" t="s">
        <v>63</v>
      </c>
      <c r="B4" t="s">
        <v>72</v>
      </c>
      <c r="C4" s="40">
        <v>8514029736184</v>
      </c>
      <c r="D4" t="s">
        <v>483</v>
      </c>
      <c r="E4">
        <v>0</v>
      </c>
      <c r="F4" t="s">
        <v>62</v>
      </c>
      <c r="G4" s="1">
        <v>46097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BC65F-FD17-422D-8808-CACF9877DF16}">
  <dimension ref="A1:G80"/>
  <sheetViews>
    <sheetView showGridLines="0" zoomScaleNormal="100" workbookViewId="0">
      <selection activeCell="A25" sqref="A25"/>
    </sheetView>
  </sheetViews>
  <sheetFormatPr defaultRowHeight="15" x14ac:dyDescent="0.25"/>
  <cols>
    <col min="1" max="1" width="15.140625" bestFit="1" customWidth="1"/>
    <col min="2" max="2" width="11.140625" bestFit="1" customWidth="1"/>
    <col min="3" max="3" width="16.7109375" style="40" bestFit="1" customWidth="1"/>
    <col min="4" max="4" width="17.42578125" style="41" customWidth="1"/>
    <col min="5" max="5" width="14.140625" customWidth="1"/>
    <col min="6" max="6" width="23" customWidth="1"/>
  </cols>
  <sheetData>
    <row r="1" spans="1:7" x14ac:dyDescent="0.25">
      <c r="A1" s="50" t="s">
        <v>73</v>
      </c>
      <c r="B1" s="1">
        <v>46149</v>
      </c>
      <c r="C1" s="1"/>
    </row>
    <row r="3" spans="1:7" x14ac:dyDescent="0.25">
      <c r="A3" s="51" t="s">
        <v>74</v>
      </c>
      <c r="B3" s="52" t="s">
        <v>75</v>
      </c>
      <c r="C3" s="53" t="s">
        <v>66</v>
      </c>
      <c r="D3" s="54" t="s">
        <v>76</v>
      </c>
      <c r="E3" s="55"/>
      <c r="F3" s="55" t="s">
        <v>57</v>
      </c>
    </row>
    <row r="4" spans="1:7" x14ac:dyDescent="0.25">
      <c r="A4" t="s">
        <v>77</v>
      </c>
      <c r="B4" s="1">
        <v>46024</v>
      </c>
      <c r="C4" s="40">
        <v>3478912057643</v>
      </c>
      <c r="D4" s="61">
        <v>775</v>
      </c>
      <c r="E4" t="s">
        <v>78</v>
      </c>
      <c r="F4" t="s">
        <v>79</v>
      </c>
    </row>
    <row r="5" spans="1:7" x14ac:dyDescent="0.25">
      <c r="A5" t="s">
        <v>77</v>
      </c>
      <c r="B5" s="1">
        <v>46027</v>
      </c>
      <c r="C5" s="40">
        <v>3478912057643</v>
      </c>
      <c r="D5" s="88">
        <v>-1693.17</v>
      </c>
      <c r="E5" t="s">
        <v>80</v>
      </c>
      <c r="F5" t="s">
        <v>79</v>
      </c>
    </row>
    <row r="6" spans="1:7" x14ac:dyDescent="0.25">
      <c r="A6" t="s">
        <v>77</v>
      </c>
      <c r="B6" s="1">
        <v>46029</v>
      </c>
      <c r="C6" s="40">
        <v>3478912057643</v>
      </c>
      <c r="D6" s="88">
        <v>-1729.05</v>
      </c>
      <c r="E6" t="s">
        <v>80</v>
      </c>
      <c r="F6" t="s">
        <v>79</v>
      </c>
    </row>
    <row r="7" spans="1:7" x14ac:dyDescent="0.25">
      <c r="A7" t="s">
        <v>77</v>
      </c>
      <c r="B7" s="1">
        <v>46029</v>
      </c>
      <c r="C7" s="40">
        <v>3478912057643</v>
      </c>
      <c r="D7" s="61">
        <v>675</v>
      </c>
      <c r="E7" t="s">
        <v>78</v>
      </c>
      <c r="F7" t="s">
        <v>79</v>
      </c>
    </row>
    <row r="8" spans="1:7" x14ac:dyDescent="0.25">
      <c r="A8" t="s">
        <v>77</v>
      </c>
      <c r="B8" s="1">
        <v>46029</v>
      </c>
      <c r="C8" s="40">
        <v>3478912057643</v>
      </c>
      <c r="D8" s="61">
        <v>900</v>
      </c>
      <c r="E8" t="s">
        <v>78</v>
      </c>
      <c r="F8" t="s">
        <v>79</v>
      </c>
    </row>
    <row r="9" spans="1:7" x14ac:dyDescent="0.25">
      <c r="A9" t="s">
        <v>77</v>
      </c>
      <c r="B9" s="1">
        <v>46034</v>
      </c>
      <c r="C9" s="40">
        <v>3478912057643</v>
      </c>
      <c r="D9" s="61">
        <v>825</v>
      </c>
      <c r="E9" t="s">
        <v>78</v>
      </c>
      <c r="F9" t="s">
        <v>79</v>
      </c>
    </row>
    <row r="10" spans="1:7" x14ac:dyDescent="0.25">
      <c r="A10" t="s">
        <v>77</v>
      </c>
      <c r="B10" s="1">
        <v>46036</v>
      </c>
      <c r="C10" s="40">
        <v>3478912057643</v>
      </c>
      <c r="D10" s="88">
        <v>-3350</v>
      </c>
      <c r="E10" t="s">
        <v>80</v>
      </c>
      <c r="F10" t="s">
        <v>79</v>
      </c>
    </row>
    <row r="11" spans="1:7" x14ac:dyDescent="0.25">
      <c r="A11" t="s">
        <v>77</v>
      </c>
      <c r="B11" s="1">
        <v>46036</v>
      </c>
      <c r="C11" s="40">
        <v>3478912057643</v>
      </c>
      <c r="D11" s="88">
        <v>-1680.23</v>
      </c>
      <c r="E11" t="s">
        <v>80</v>
      </c>
      <c r="F11" t="s">
        <v>79</v>
      </c>
    </row>
    <row r="12" spans="1:7" x14ac:dyDescent="0.25">
      <c r="A12" t="s">
        <v>77</v>
      </c>
      <c r="B12" s="1">
        <v>46036</v>
      </c>
      <c r="C12" s="40">
        <v>3478912057643</v>
      </c>
      <c r="D12" s="61">
        <v>900</v>
      </c>
      <c r="E12" t="s">
        <v>78</v>
      </c>
      <c r="F12" t="s">
        <v>79</v>
      </c>
    </row>
    <row r="13" spans="1:7" x14ac:dyDescent="0.25">
      <c r="A13" t="s">
        <v>77</v>
      </c>
      <c r="B13" s="1">
        <v>46037</v>
      </c>
      <c r="C13" s="40">
        <v>3478912057643</v>
      </c>
      <c r="D13" s="61">
        <v>975</v>
      </c>
      <c r="E13" t="s">
        <v>78</v>
      </c>
      <c r="F13" t="s">
        <v>79</v>
      </c>
    </row>
    <row r="14" spans="1:7" x14ac:dyDescent="0.25">
      <c r="A14" t="s">
        <v>77</v>
      </c>
      <c r="B14" s="1">
        <v>46038</v>
      </c>
      <c r="C14" s="40">
        <v>3478912057643</v>
      </c>
      <c r="D14" s="61">
        <v>950</v>
      </c>
      <c r="E14" t="s">
        <v>78</v>
      </c>
      <c r="F14" t="s">
        <v>79</v>
      </c>
    </row>
    <row r="15" spans="1:7" x14ac:dyDescent="0.25">
      <c r="A15" t="s">
        <v>77</v>
      </c>
      <c r="B15" s="1">
        <v>46042</v>
      </c>
      <c r="C15" s="40">
        <v>3478912057643</v>
      </c>
      <c r="D15" s="88">
        <v>-1678.66</v>
      </c>
      <c r="E15" t="s">
        <v>80</v>
      </c>
      <c r="F15" t="s">
        <v>79</v>
      </c>
    </row>
    <row r="16" spans="1:7" x14ac:dyDescent="0.25">
      <c r="A16" t="s">
        <v>77</v>
      </c>
      <c r="B16" s="1">
        <v>46043</v>
      </c>
      <c r="C16" s="40">
        <v>3478912057643</v>
      </c>
      <c r="D16" s="61">
        <v>550</v>
      </c>
      <c r="E16" t="s">
        <v>78</v>
      </c>
      <c r="F16" t="s">
        <v>79</v>
      </c>
      <c r="G16" s="41">
        <f>+G4+G5+G6+G7</f>
        <v>0</v>
      </c>
    </row>
    <row r="17" spans="1:6" x14ac:dyDescent="0.25">
      <c r="A17" t="s">
        <v>77</v>
      </c>
      <c r="B17" s="1">
        <v>46051</v>
      </c>
      <c r="C17" s="40">
        <v>3478912057643</v>
      </c>
      <c r="D17" s="88">
        <v>-1686.73</v>
      </c>
      <c r="E17" t="s">
        <v>80</v>
      </c>
      <c r="F17" t="s">
        <v>79</v>
      </c>
    </row>
    <row r="18" spans="1:6" x14ac:dyDescent="0.25">
      <c r="A18" t="s">
        <v>77</v>
      </c>
      <c r="B18" s="1">
        <v>46051</v>
      </c>
      <c r="C18" s="40">
        <v>3478912057643</v>
      </c>
      <c r="D18" s="61">
        <v>550</v>
      </c>
      <c r="E18" t="s">
        <v>78</v>
      </c>
      <c r="F18" t="s">
        <v>79</v>
      </c>
    </row>
    <row r="19" spans="1:6" x14ac:dyDescent="0.25">
      <c r="B19" s="1"/>
      <c r="D19" s="88"/>
    </row>
    <row r="20" spans="1:6" x14ac:dyDescent="0.25">
      <c r="B20" s="1"/>
      <c r="D20" s="61"/>
    </row>
    <row r="21" spans="1:6" x14ac:dyDescent="0.25">
      <c r="A21" s="156" t="s">
        <v>481</v>
      </c>
      <c r="B21" s="1"/>
      <c r="D21" s="88"/>
    </row>
    <row r="22" spans="1:6" x14ac:dyDescent="0.25">
      <c r="B22" s="1"/>
      <c r="D22" s="88"/>
    </row>
    <row r="23" spans="1:6" x14ac:dyDescent="0.25">
      <c r="B23" s="1"/>
      <c r="D23" s="61"/>
    </row>
    <row r="24" spans="1:6" x14ac:dyDescent="0.25">
      <c r="B24" s="1"/>
      <c r="D24" s="61"/>
    </row>
    <row r="25" spans="1:6" x14ac:dyDescent="0.25">
      <c r="B25" s="1"/>
      <c r="D25" s="88"/>
    </row>
    <row r="26" spans="1:6" x14ac:dyDescent="0.25">
      <c r="B26" s="1"/>
      <c r="D26" s="88"/>
    </row>
    <row r="27" spans="1:6" x14ac:dyDescent="0.25">
      <c r="B27" s="1"/>
      <c r="D27" s="61"/>
    </row>
    <row r="28" spans="1:6" x14ac:dyDescent="0.25">
      <c r="B28" s="1"/>
      <c r="D28" s="61"/>
    </row>
    <row r="29" spans="1:6" x14ac:dyDescent="0.25">
      <c r="B29" s="1"/>
      <c r="D29" s="61"/>
    </row>
    <row r="30" spans="1:6" x14ac:dyDescent="0.25">
      <c r="B30" s="1"/>
      <c r="D30" s="61"/>
    </row>
    <row r="31" spans="1:6" x14ac:dyDescent="0.25">
      <c r="B31" s="1"/>
      <c r="D31" s="88"/>
    </row>
    <row r="32" spans="1:6" x14ac:dyDescent="0.25">
      <c r="B32" s="1"/>
      <c r="D32" s="61"/>
    </row>
    <row r="33" spans="2:4" x14ac:dyDescent="0.25">
      <c r="B33" s="1"/>
      <c r="D33" s="61"/>
    </row>
    <row r="34" spans="2:4" x14ac:dyDescent="0.25">
      <c r="B34" s="1"/>
      <c r="D34" s="88"/>
    </row>
    <row r="35" spans="2:4" x14ac:dyDescent="0.25">
      <c r="B35" s="1"/>
      <c r="D35" s="88"/>
    </row>
    <row r="36" spans="2:4" x14ac:dyDescent="0.25">
      <c r="B36" s="1"/>
      <c r="D36" s="88"/>
    </row>
    <row r="37" spans="2:4" x14ac:dyDescent="0.25">
      <c r="B37" s="1"/>
      <c r="D37" s="61"/>
    </row>
    <row r="38" spans="2:4" x14ac:dyDescent="0.25">
      <c r="B38" s="1"/>
      <c r="D38" s="61"/>
    </row>
    <row r="39" spans="2:4" x14ac:dyDescent="0.25">
      <c r="B39" s="1"/>
      <c r="D39" s="61"/>
    </row>
    <row r="40" spans="2:4" x14ac:dyDescent="0.25">
      <c r="B40" s="1"/>
      <c r="D40" s="61"/>
    </row>
    <row r="41" spans="2:4" x14ac:dyDescent="0.25">
      <c r="B41" s="1"/>
      <c r="D41" s="61"/>
    </row>
    <row r="42" spans="2:4" x14ac:dyDescent="0.25">
      <c r="B42" s="1"/>
      <c r="D42" s="88"/>
    </row>
    <row r="43" spans="2:4" x14ac:dyDescent="0.25">
      <c r="B43" s="1"/>
      <c r="D43" s="61"/>
    </row>
    <row r="44" spans="2:4" x14ac:dyDescent="0.25">
      <c r="B44" s="1"/>
      <c r="D44" s="61"/>
    </row>
    <row r="45" spans="2:4" x14ac:dyDescent="0.25">
      <c r="B45" s="1"/>
      <c r="D45" s="88"/>
    </row>
    <row r="46" spans="2:4" x14ac:dyDescent="0.25">
      <c r="B46" s="1"/>
      <c r="D46" s="88"/>
    </row>
    <row r="47" spans="2:4" x14ac:dyDescent="0.25">
      <c r="B47" s="1"/>
      <c r="D47" s="61"/>
    </row>
    <row r="48" spans="2:4" x14ac:dyDescent="0.25">
      <c r="B48" s="1"/>
      <c r="D48" s="88"/>
    </row>
    <row r="49" spans="2:4" x14ac:dyDescent="0.25">
      <c r="B49" s="1"/>
      <c r="D49" s="88"/>
    </row>
    <row r="50" spans="2:4" x14ac:dyDescent="0.25">
      <c r="B50" s="1"/>
      <c r="D50" s="61"/>
    </row>
    <row r="51" spans="2:4" x14ac:dyDescent="0.25">
      <c r="B51" s="1"/>
      <c r="D51" s="61"/>
    </row>
    <row r="52" spans="2:4" x14ac:dyDescent="0.25">
      <c r="B52" s="1"/>
      <c r="D52" s="61"/>
    </row>
    <row r="53" spans="2:4" x14ac:dyDescent="0.25">
      <c r="B53" s="1"/>
      <c r="D53" s="61"/>
    </row>
    <row r="54" spans="2:4" x14ac:dyDescent="0.25">
      <c r="B54" s="1"/>
      <c r="D54" s="61"/>
    </row>
    <row r="55" spans="2:4" x14ac:dyDescent="0.25">
      <c r="B55" s="1"/>
      <c r="D55" s="61"/>
    </row>
    <row r="56" spans="2:4" x14ac:dyDescent="0.25">
      <c r="B56" s="1"/>
      <c r="D56" s="61"/>
    </row>
    <row r="57" spans="2:4" x14ac:dyDescent="0.25">
      <c r="B57" s="1"/>
      <c r="D57" s="88"/>
    </row>
    <row r="58" spans="2:4" x14ac:dyDescent="0.25">
      <c r="B58" s="1"/>
      <c r="D58" s="61"/>
    </row>
    <row r="59" spans="2:4" x14ac:dyDescent="0.25">
      <c r="B59" s="1"/>
      <c r="D59" s="88"/>
    </row>
    <row r="60" spans="2:4" x14ac:dyDescent="0.25">
      <c r="B60" s="1"/>
      <c r="D60" s="61"/>
    </row>
    <row r="61" spans="2:4" x14ac:dyDescent="0.25">
      <c r="B61" s="1"/>
      <c r="D61" s="88"/>
    </row>
    <row r="62" spans="2:4" x14ac:dyDescent="0.25">
      <c r="B62" s="1"/>
      <c r="D62" s="61"/>
    </row>
    <row r="63" spans="2:4" x14ac:dyDescent="0.25">
      <c r="B63" s="1"/>
      <c r="D63" s="88"/>
    </row>
    <row r="64" spans="2:4" x14ac:dyDescent="0.25">
      <c r="B64" s="1"/>
      <c r="D64" s="61"/>
    </row>
    <row r="65" spans="2:4" x14ac:dyDescent="0.25">
      <c r="B65" s="1"/>
      <c r="D65" s="88"/>
    </row>
    <row r="66" spans="2:4" x14ac:dyDescent="0.25">
      <c r="B66" s="1"/>
      <c r="D66" s="61"/>
    </row>
    <row r="67" spans="2:4" x14ac:dyDescent="0.25">
      <c r="B67" s="1"/>
      <c r="D67" s="61"/>
    </row>
    <row r="68" spans="2:4" x14ac:dyDescent="0.25">
      <c r="B68" s="1"/>
      <c r="D68" s="88"/>
    </row>
    <row r="69" spans="2:4" x14ac:dyDescent="0.25">
      <c r="B69" s="1"/>
      <c r="D69" s="61"/>
    </row>
    <row r="70" spans="2:4" x14ac:dyDescent="0.25">
      <c r="B70" s="1"/>
      <c r="D70" s="61"/>
    </row>
    <row r="71" spans="2:4" x14ac:dyDescent="0.25">
      <c r="B71" s="1"/>
      <c r="D71" s="88"/>
    </row>
    <row r="72" spans="2:4" x14ac:dyDescent="0.25">
      <c r="B72" s="1"/>
      <c r="D72" s="88"/>
    </row>
    <row r="73" spans="2:4" x14ac:dyDescent="0.25">
      <c r="B73" s="1"/>
      <c r="D73" s="61"/>
    </row>
    <row r="74" spans="2:4" x14ac:dyDescent="0.25">
      <c r="B74" s="1"/>
      <c r="D74" s="61"/>
    </row>
    <row r="75" spans="2:4" x14ac:dyDescent="0.25">
      <c r="B75" s="1"/>
      <c r="D75" s="61"/>
    </row>
    <row r="76" spans="2:4" x14ac:dyDescent="0.25">
      <c r="B76" s="1"/>
      <c r="D76" s="61"/>
    </row>
    <row r="77" spans="2:4" x14ac:dyDescent="0.25">
      <c r="B77" s="1"/>
      <c r="D77" s="61"/>
    </row>
    <row r="78" spans="2:4" x14ac:dyDescent="0.25">
      <c r="B78" s="1"/>
      <c r="D78" s="61"/>
    </row>
    <row r="79" spans="2:4" x14ac:dyDescent="0.25">
      <c r="B79" s="1"/>
      <c r="D79" s="61"/>
    </row>
    <row r="80" spans="2:4" x14ac:dyDescent="0.25">
      <c r="B80" s="1"/>
      <c r="D80" s="61"/>
    </row>
  </sheetData>
  <autoFilter ref="A3:F3" xr:uid="{D6DBC65F-FD17-422D-8808-CACF9877DF16}">
    <sortState xmlns:xlrd2="http://schemas.microsoft.com/office/spreadsheetml/2017/richdata2" ref="A4:F80">
      <sortCondition ref="B3"/>
    </sortState>
  </autoFilter>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1D810-DAFA-4F31-B6DD-45D854AF5F85}">
  <dimension ref="A1:AB205"/>
  <sheetViews>
    <sheetView workbookViewId="0">
      <pane ySplit="1" topLeftCell="A2" activePane="bottomLeft" state="frozen"/>
      <selection pane="bottomLeft" activeCell="A2" sqref="A2"/>
    </sheetView>
  </sheetViews>
  <sheetFormatPr defaultRowHeight="15" x14ac:dyDescent="0.25"/>
  <cols>
    <col min="1" max="1" width="15.85546875" bestFit="1" customWidth="1"/>
    <col min="2" max="2" width="16.7109375" style="87" bestFit="1" customWidth="1"/>
    <col min="3" max="3" width="6.42578125" bestFit="1" customWidth="1"/>
    <col min="4" max="4" width="15" style="41" bestFit="1" customWidth="1"/>
    <col min="5" max="5" width="10.7109375" bestFit="1" customWidth="1"/>
    <col min="6" max="7" width="10.5703125" style="41" bestFit="1" customWidth="1"/>
    <col min="8" max="8" width="20.5703125" customWidth="1"/>
    <col min="9" max="9" width="6.5703125" bestFit="1" customWidth="1"/>
    <col min="10" max="10" width="9.42578125" bestFit="1" customWidth="1"/>
    <col min="11" max="11" width="29.28515625" bestFit="1" customWidth="1"/>
    <col min="12" max="12" width="22" customWidth="1"/>
    <col min="13" max="13" width="11.5703125" bestFit="1" customWidth="1"/>
    <col min="14" max="14" width="6.7109375" bestFit="1" customWidth="1"/>
    <col min="15" max="15" width="7.85546875" bestFit="1" customWidth="1"/>
    <col min="16" max="16" width="6" bestFit="1" customWidth="1"/>
    <col min="17" max="17" width="12.7109375" bestFit="1" customWidth="1"/>
    <col min="18" max="18" width="11.85546875" bestFit="1" customWidth="1"/>
    <col min="19" max="19" width="13.42578125" bestFit="1" customWidth="1"/>
    <col min="20" max="20" width="12.5703125" bestFit="1" customWidth="1"/>
    <col min="21" max="21" width="11.7109375" bestFit="1" customWidth="1"/>
    <col min="22" max="22" width="18.5703125" bestFit="1" customWidth="1"/>
    <col min="23" max="23" width="15.42578125" bestFit="1" customWidth="1"/>
    <col min="24" max="24" width="25.28515625" bestFit="1" customWidth="1"/>
    <col min="25" max="25" width="17.5703125" bestFit="1" customWidth="1"/>
    <col min="26" max="26" width="17.28515625" bestFit="1" customWidth="1"/>
    <col min="27" max="27" width="20.140625" bestFit="1" customWidth="1"/>
    <col min="28" max="28" width="18.42578125" bestFit="1" customWidth="1"/>
  </cols>
  <sheetData>
    <row r="1" spans="1:28" x14ac:dyDescent="0.25">
      <c r="A1" t="s">
        <v>81</v>
      </c>
      <c r="B1" s="87" t="s">
        <v>66</v>
      </c>
      <c r="C1" t="s">
        <v>82</v>
      </c>
      <c r="D1" s="41" t="s">
        <v>83</v>
      </c>
      <c r="E1" t="s">
        <v>75</v>
      </c>
      <c r="F1" s="41" t="s">
        <v>84</v>
      </c>
      <c r="G1" s="41" t="s">
        <v>85</v>
      </c>
      <c r="H1" t="s">
        <v>57</v>
      </c>
      <c r="I1" t="s">
        <v>86</v>
      </c>
      <c r="J1" t="s">
        <v>87</v>
      </c>
      <c r="K1" t="s">
        <v>88</v>
      </c>
      <c r="L1" t="s">
        <v>89</v>
      </c>
      <c r="M1" t="s">
        <v>90</v>
      </c>
      <c r="N1" t="s">
        <v>91</v>
      </c>
      <c r="O1" t="s">
        <v>92</v>
      </c>
      <c r="P1" t="s">
        <v>93</v>
      </c>
      <c r="Q1" t="s">
        <v>94</v>
      </c>
      <c r="R1" t="s">
        <v>95</v>
      </c>
      <c r="S1" t="s">
        <v>96</v>
      </c>
      <c r="T1" t="s">
        <v>97</v>
      </c>
      <c r="U1" t="s">
        <v>98</v>
      </c>
      <c r="V1" t="s">
        <v>99</v>
      </c>
      <c r="W1" t="s">
        <v>100</v>
      </c>
      <c r="X1" t="s">
        <v>101</v>
      </c>
      <c r="Y1" t="s">
        <v>102</v>
      </c>
      <c r="Z1" t="s">
        <v>103</v>
      </c>
      <c r="AA1" t="s">
        <v>104</v>
      </c>
      <c r="AB1" t="s">
        <v>105</v>
      </c>
    </row>
    <row r="2" spans="1:28" x14ac:dyDescent="0.25">
      <c r="A2" t="s">
        <v>485</v>
      </c>
      <c r="B2" s="40">
        <v>3478912057643</v>
      </c>
      <c r="C2" t="s">
        <v>107</v>
      </c>
      <c r="D2" s="78">
        <v>2984</v>
      </c>
      <c r="E2" s="1">
        <v>46024</v>
      </c>
      <c r="F2" s="86">
        <v>775</v>
      </c>
      <c r="G2" s="82">
        <v>0</v>
      </c>
      <c r="H2" t="s">
        <v>108</v>
      </c>
      <c r="I2" t="s">
        <v>78</v>
      </c>
      <c r="J2" t="s">
        <v>109</v>
      </c>
      <c r="K2" t="s">
        <v>110</v>
      </c>
      <c r="T2" s="81">
        <v>0.54166666666666663</v>
      </c>
      <c r="U2" s="1">
        <v>45871</v>
      </c>
      <c r="V2" t="s">
        <v>111</v>
      </c>
      <c r="W2" t="s">
        <v>112</v>
      </c>
      <c r="X2" s="77" t="s">
        <v>113</v>
      </c>
      <c r="Y2" t="s">
        <v>106</v>
      </c>
      <c r="Z2" t="s">
        <v>112</v>
      </c>
      <c r="AA2" s="77" t="s">
        <v>114</v>
      </c>
      <c r="AB2" t="s">
        <v>115</v>
      </c>
    </row>
    <row r="3" spans="1:28" x14ac:dyDescent="0.25">
      <c r="A3" t="s">
        <v>485</v>
      </c>
      <c r="B3" s="40">
        <v>3478912057643</v>
      </c>
      <c r="C3" t="s">
        <v>107</v>
      </c>
      <c r="D3" s="78">
        <f t="shared" ref="D3:D34" si="0">D2+F3-G3</f>
        <v>1290.83</v>
      </c>
      <c r="E3" s="1">
        <v>46027</v>
      </c>
      <c r="F3" s="82">
        <v>0</v>
      </c>
      <c r="G3" s="86">
        <v>1693.17</v>
      </c>
      <c r="H3" t="s">
        <v>79</v>
      </c>
      <c r="I3" t="s">
        <v>80</v>
      </c>
      <c r="J3" t="s">
        <v>109</v>
      </c>
      <c r="K3" t="s">
        <v>116</v>
      </c>
      <c r="T3" s="81">
        <v>0.44166666666666665</v>
      </c>
      <c r="U3" s="1">
        <v>46027</v>
      </c>
      <c r="V3" t="s">
        <v>106</v>
      </c>
      <c r="W3" t="s">
        <v>112</v>
      </c>
      <c r="X3" s="77" t="s">
        <v>114</v>
      </c>
      <c r="Y3" t="s">
        <v>117</v>
      </c>
      <c r="Z3" t="s">
        <v>118</v>
      </c>
      <c r="AA3" s="77" t="s">
        <v>119</v>
      </c>
    </row>
    <row r="4" spans="1:28" x14ac:dyDescent="0.25">
      <c r="A4" t="s">
        <v>485</v>
      </c>
      <c r="B4" s="40">
        <v>3478912057643</v>
      </c>
      <c r="C4" t="s">
        <v>107</v>
      </c>
      <c r="D4" s="78">
        <f t="shared" si="0"/>
        <v>1965.83</v>
      </c>
      <c r="E4" s="1">
        <v>46029</v>
      </c>
      <c r="F4" s="86">
        <v>675</v>
      </c>
      <c r="G4" s="82">
        <v>0</v>
      </c>
      <c r="H4" t="s">
        <v>108</v>
      </c>
      <c r="I4" t="s">
        <v>78</v>
      </c>
      <c r="J4" t="s">
        <v>109</v>
      </c>
      <c r="K4" t="s">
        <v>110</v>
      </c>
      <c r="T4" s="81">
        <v>0.65625</v>
      </c>
      <c r="U4" s="1">
        <v>45959</v>
      </c>
      <c r="V4" t="s">
        <v>120</v>
      </c>
      <c r="W4" t="s">
        <v>118</v>
      </c>
      <c r="X4" s="77" t="s">
        <v>121</v>
      </c>
      <c r="Y4" t="s">
        <v>106</v>
      </c>
      <c r="Z4" t="s">
        <v>112</v>
      </c>
      <c r="AA4" s="77" t="s">
        <v>114</v>
      </c>
      <c r="AB4" t="s">
        <v>122</v>
      </c>
    </row>
    <row r="5" spans="1:28" x14ac:dyDescent="0.25">
      <c r="A5" t="s">
        <v>485</v>
      </c>
      <c r="B5" s="40">
        <v>3478912057643</v>
      </c>
      <c r="C5" t="s">
        <v>107</v>
      </c>
      <c r="D5" s="78">
        <f t="shared" si="0"/>
        <v>2865.83</v>
      </c>
      <c r="E5" s="1">
        <v>46029</v>
      </c>
      <c r="F5" s="86">
        <v>900</v>
      </c>
      <c r="G5" s="82">
        <v>0</v>
      </c>
      <c r="H5" t="s">
        <v>108</v>
      </c>
      <c r="I5" t="s">
        <v>78</v>
      </c>
      <c r="J5" t="s">
        <v>109</v>
      </c>
      <c r="K5" t="s">
        <v>110</v>
      </c>
      <c r="T5" s="81">
        <v>0.71875</v>
      </c>
      <c r="U5" s="1">
        <v>45971</v>
      </c>
      <c r="V5" s="1" t="s">
        <v>123</v>
      </c>
      <c r="W5" t="s">
        <v>118</v>
      </c>
      <c r="X5" s="77" t="s">
        <v>124</v>
      </c>
      <c r="Y5" t="s">
        <v>106</v>
      </c>
      <c r="Z5" t="s">
        <v>112</v>
      </c>
      <c r="AA5" s="77" t="s">
        <v>114</v>
      </c>
    </row>
    <row r="6" spans="1:28" x14ac:dyDescent="0.25">
      <c r="A6" t="s">
        <v>485</v>
      </c>
      <c r="B6" s="40">
        <v>3478912057643</v>
      </c>
      <c r="C6" t="s">
        <v>107</v>
      </c>
      <c r="D6" s="78">
        <f t="shared" si="0"/>
        <v>1136.78</v>
      </c>
      <c r="E6" s="1">
        <v>46029</v>
      </c>
      <c r="F6" s="82">
        <v>0</v>
      </c>
      <c r="G6" s="86">
        <v>1729.05</v>
      </c>
      <c r="H6" t="s">
        <v>79</v>
      </c>
      <c r="I6" t="s">
        <v>80</v>
      </c>
      <c r="J6" t="s">
        <v>109</v>
      </c>
      <c r="K6" t="s">
        <v>116</v>
      </c>
      <c r="T6" s="81">
        <v>0.375</v>
      </c>
      <c r="U6" s="1">
        <v>46029</v>
      </c>
      <c r="V6" t="s">
        <v>106</v>
      </c>
      <c r="W6" t="s">
        <v>112</v>
      </c>
      <c r="X6" s="77" t="s">
        <v>114</v>
      </c>
      <c r="Y6" t="s">
        <v>125</v>
      </c>
      <c r="Z6" t="s">
        <v>126</v>
      </c>
      <c r="AA6" s="77" t="s">
        <v>127</v>
      </c>
    </row>
    <row r="7" spans="1:28" x14ac:dyDescent="0.25">
      <c r="A7" t="s">
        <v>485</v>
      </c>
      <c r="B7" s="40">
        <v>3478912057643</v>
      </c>
      <c r="C7" t="s">
        <v>107</v>
      </c>
      <c r="D7" s="78">
        <f t="shared" si="0"/>
        <v>1078.03</v>
      </c>
      <c r="E7" s="1">
        <v>46030</v>
      </c>
      <c r="F7" s="79">
        <v>0</v>
      </c>
      <c r="G7" s="80">
        <v>58.75</v>
      </c>
      <c r="H7" t="s">
        <v>128</v>
      </c>
      <c r="I7" t="s">
        <v>80</v>
      </c>
      <c r="J7" t="s">
        <v>109</v>
      </c>
      <c r="K7" t="s">
        <v>129</v>
      </c>
      <c r="L7" t="s">
        <v>130</v>
      </c>
      <c r="N7" t="s">
        <v>131</v>
      </c>
      <c r="O7" t="s">
        <v>132</v>
      </c>
      <c r="P7">
        <v>75219</v>
      </c>
      <c r="S7" t="s">
        <v>133</v>
      </c>
      <c r="T7" s="81">
        <v>0.80208333333333337</v>
      </c>
      <c r="U7" s="1">
        <v>46040</v>
      </c>
      <c r="V7" t="s">
        <v>106</v>
      </c>
      <c r="W7" t="s">
        <v>112</v>
      </c>
      <c r="X7" s="77" t="s">
        <v>114</v>
      </c>
      <c r="Y7" t="s">
        <v>129</v>
      </c>
      <c r="AA7" s="77" t="s">
        <v>134</v>
      </c>
    </row>
    <row r="8" spans="1:28" x14ac:dyDescent="0.25">
      <c r="A8" t="s">
        <v>485</v>
      </c>
      <c r="B8" s="40">
        <v>3478912057643</v>
      </c>
      <c r="C8" t="s">
        <v>107</v>
      </c>
      <c r="D8" s="78">
        <f t="shared" si="0"/>
        <v>5728.03</v>
      </c>
      <c r="E8" s="1">
        <v>46030</v>
      </c>
      <c r="F8" s="83">
        <v>4650</v>
      </c>
      <c r="G8" s="82">
        <v>0</v>
      </c>
      <c r="H8" t="s">
        <v>135</v>
      </c>
      <c r="I8" t="s">
        <v>78</v>
      </c>
      <c r="J8" t="s">
        <v>109</v>
      </c>
      <c r="K8" t="s">
        <v>136</v>
      </c>
      <c r="N8" t="s">
        <v>131</v>
      </c>
      <c r="O8" t="s">
        <v>132</v>
      </c>
      <c r="P8">
        <v>75219</v>
      </c>
      <c r="Q8" t="s">
        <v>137</v>
      </c>
      <c r="R8" t="s">
        <v>138</v>
      </c>
      <c r="T8" s="81">
        <v>0.72499999999999998</v>
      </c>
      <c r="U8" s="1">
        <v>46202</v>
      </c>
      <c r="V8" t="s">
        <v>139</v>
      </c>
      <c r="W8" t="s">
        <v>140</v>
      </c>
      <c r="X8" s="77" t="s">
        <v>134</v>
      </c>
      <c r="Y8" t="s">
        <v>106</v>
      </c>
      <c r="Z8" t="s">
        <v>112</v>
      </c>
      <c r="AA8" s="77" t="s">
        <v>114</v>
      </c>
    </row>
    <row r="9" spans="1:28" x14ac:dyDescent="0.25">
      <c r="A9" t="s">
        <v>485</v>
      </c>
      <c r="B9" s="40">
        <v>3478912057643</v>
      </c>
      <c r="C9" t="s">
        <v>107</v>
      </c>
      <c r="D9" s="78">
        <f t="shared" si="0"/>
        <v>8928.0299999999988</v>
      </c>
      <c r="E9" s="1">
        <v>46031</v>
      </c>
      <c r="F9" s="83">
        <v>3200</v>
      </c>
      <c r="G9" s="82">
        <v>0</v>
      </c>
      <c r="H9" t="s">
        <v>135</v>
      </c>
      <c r="I9" t="s">
        <v>78</v>
      </c>
      <c r="J9" t="s">
        <v>109</v>
      </c>
      <c r="K9" t="s">
        <v>136</v>
      </c>
      <c r="N9" t="s">
        <v>141</v>
      </c>
      <c r="O9" t="s">
        <v>132</v>
      </c>
      <c r="P9">
        <v>75039</v>
      </c>
      <c r="Q9" t="s">
        <v>142</v>
      </c>
      <c r="R9" t="s">
        <v>143</v>
      </c>
      <c r="T9" s="81">
        <v>0.41875000000000001</v>
      </c>
      <c r="U9" s="1">
        <v>46202</v>
      </c>
      <c r="V9" t="s">
        <v>144</v>
      </c>
      <c r="W9" t="s">
        <v>140</v>
      </c>
      <c r="X9" s="77" t="s">
        <v>134</v>
      </c>
      <c r="Y9" t="s">
        <v>106</v>
      </c>
      <c r="Z9" t="s">
        <v>112</v>
      </c>
      <c r="AA9" s="77" t="s">
        <v>114</v>
      </c>
    </row>
    <row r="10" spans="1:28" x14ac:dyDescent="0.25">
      <c r="A10" t="s">
        <v>485</v>
      </c>
      <c r="B10" s="40">
        <v>3478912057643</v>
      </c>
      <c r="C10" t="s">
        <v>107</v>
      </c>
      <c r="D10" s="78">
        <f t="shared" si="0"/>
        <v>9753.0299999999988</v>
      </c>
      <c r="E10" s="1">
        <v>46034</v>
      </c>
      <c r="F10" s="86">
        <v>825</v>
      </c>
      <c r="G10" s="82">
        <v>0</v>
      </c>
      <c r="H10" t="s">
        <v>108</v>
      </c>
      <c r="I10" t="s">
        <v>78</v>
      </c>
      <c r="J10" t="s">
        <v>109</v>
      </c>
      <c r="K10" t="s">
        <v>110</v>
      </c>
      <c r="T10" s="81">
        <v>0.47916666666666669</v>
      </c>
      <c r="U10" s="1">
        <v>45991</v>
      </c>
      <c r="V10" t="s">
        <v>145</v>
      </c>
      <c r="W10" t="s">
        <v>112</v>
      </c>
      <c r="X10" s="77" t="s">
        <v>146</v>
      </c>
      <c r="Y10" t="s">
        <v>106</v>
      </c>
      <c r="Z10" t="s">
        <v>112</v>
      </c>
      <c r="AA10" s="77" t="s">
        <v>114</v>
      </c>
    </row>
    <row r="11" spans="1:28" x14ac:dyDescent="0.25">
      <c r="A11" t="s">
        <v>485</v>
      </c>
      <c r="B11" s="40">
        <v>3478912057643</v>
      </c>
      <c r="C11" t="s">
        <v>107</v>
      </c>
      <c r="D11" s="78">
        <f t="shared" si="0"/>
        <v>12703.029999999999</v>
      </c>
      <c r="E11" s="1">
        <v>46034</v>
      </c>
      <c r="F11" s="83">
        <v>2950</v>
      </c>
      <c r="G11" s="82">
        <v>0</v>
      </c>
      <c r="H11" t="s">
        <v>135</v>
      </c>
      <c r="I11" t="s">
        <v>78</v>
      </c>
      <c r="J11" t="s">
        <v>109</v>
      </c>
      <c r="K11" t="s">
        <v>136</v>
      </c>
      <c r="N11" t="s">
        <v>147</v>
      </c>
      <c r="O11" t="s">
        <v>132</v>
      </c>
      <c r="P11">
        <v>75024</v>
      </c>
      <c r="Q11" t="s">
        <v>148</v>
      </c>
      <c r="R11" t="s">
        <v>149</v>
      </c>
      <c r="T11" s="81">
        <v>0.46458333333333335</v>
      </c>
      <c r="U11" s="1">
        <v>46202</v>
      </c>
      <c r="V11" t="s">
        <v>150</v>
      </c>
      <c r="W11" t="s">
        <v>140</v>
      </c>
      <c r="X11" s="77" t="s">
        <v>134</v>
      </c>
      <c r="Y11" t="s">
        <v>106</v>
      </c>
      <c r="Z11" t="s">
        <v>112</v>
      </c>
      <c r="AA11" s="77" t="s">
        <v>114</v>
      </c>
    </row>
    <row r="12" spans="1:28" x14ac:dyDescent="0.25">
      <c r="A12" t="s">
        <v>485</v>
      </c>
      <c r="B12" s="40">
        <v>3478912057643</v>
      </c>
      <c r="C12" t="s">
        <v>107</v>
      </c>
      <c r="D12" s="78">
        <f t="shared" si="0"/>
        <v>13603.029999999999</v>
      </c>
      <c r="E12" s="1">
        <v>46036</v>
      </c>
      <c r="F12" s="86">
        <v>900</v>
      </c>
      <c r="G12" s="82">
        <v>0</v>
      </c>
      <c r="H12" t="s">
        <v>108</v>
      </c>
      <c r="I12" t="s">
        <v>78</v>
      </c>
      <c r="J12" t="s">
        <v>109</v>
      </c>
      <c r="K12" t="s">
        <v>110</v>
      </c>
      <c r="T12" s="81">
        <v>0.38541666666666669</v>
      </c>
      <c r="U12" s="1">
        <v>45903</v>
      </c>
      <c r="V12" s="1" t="s">
        <v>151</v>
      </c>
      <c r="W12" t="s">
        <v>152</v>
      </c>
      <c r="X12" s="77" t="s">
        <v>153</v>
      </c>
      <c r="Y12" t="s">
        <v>106</v>
      </c>
      <c r="Z12" t="s">
        <v>112</v>
      </c>
      <c r="AA12" s="77" t="s">
        <v>114</v>
      </c>
      <c r="AB12" t="s">
        <v>154</v>
      </c>
    </row>
    <row r="13" spans="1:28" x14ac:dyDescent="0.25">
      <c r="A13" t="s">
        <v>485</v>
      </c>
      <c r="B13" s="40">
        <v>3478912057643</v>
      </c>
      <c r="C13" t="s">
        <v>107</v>
      </c>
      <c r="D13" s="78">
        <f t="shared" si="0"/>
        <v>10253.029999999999</v>
      </c>
      <c r="E13" s="1">
        <v>46036</v>
      </c>
      <c r="F13" s="82">
        <v>0</v>
      </c>
      <c r="G13" s="86">
        <v>3350</v>
      </c>
      <c r="H13" t="s">
        <v>79</v>
      </c>
      <c r="I13" t="s">
        <v>80</v>
      </c>
      <c r="J13" t="s">
        <v>109</v>
      </c>
      <c r="K13" t="s">
        <v>116</v>
      </c>
      <c r="T13" s="81">
        <v>0.77083333333333337</v>
      </c>
      <c r="U13" s="1">
        <v>45993</v>
      </c>
      <c r="V13" t="s">
        <v>106</v>
      </c>
      <c r="W13" t="s">
        <v>112</v>
      </c>
      <c r="X13" s="77" t="s">
        <v>114</v>
      </c>
      <c r="Y13" t="s">
        <v>117</v>
      </c>
      <c r="Z13" t="s">
        <v>118</v>
      </c>
      <c r="AA13" s="77" t="s">
        <v>155</v>
      </c>
      <c r="AB13" t="s">
        <v>154</v>
      </c>
    </row>
    <row r="14" spans="1:28" x14ac:dyDescent="0.25">
      <c r="A14" t="s">
        <v>485</v>
      </c>
      <c r="B14" s="40">
        <v>3478912057643</v>
      </c>
      <c r="C14" t="s">
        <v>107</v>
      </c>
      <c r="D14" s="78">
        <f t="shared" si="0"/>
        <v>8572.7999999999993</v>
      </c>
      <c r="E14" s="1">
        <v>46036</v>
      </c>
      <c r="F14" s="82">
        <v>0</v>
      </c>
      <c r="G14" s="86">
        <v>1680.23</v>
      </c>
      <c r="H14" t="s">
        <v>79</v>
      </c>
      <c r="I14" t="s">
        <v>80</v>
      </c>
      <c r="J14" t="s">
        <v>109</v>
      </c>
      <c r="K14" t="s">
        <v>116</v>
      </c>
      <c r="T14" s="81">
        <v>0.47500000000000003</v>
      </c>
      <c r="U14" s="1">
        <v>46036</v>
      </c>
      <c r="V14" t="s">
        <v>106</v>
      </c>
      <c r="W14" t="s">
        <v>112</v>
      </c>
      <c r="X14" s="77" t="s">
        <v>114</v>
      </c>
      <c r="Y14" t="s">
        <v>156</v>
      </c>
      <c r="Z14" t="s">
        <v>152</v>
      </c>
      <c r="AA14" s="77" t="s">
        <v>157</v>
      </c>
    </row>
    <row r="15" spans="1:28" x14ac:dyDescent="0.25">
      <c r="A15" t="s">
        <v>485</v>
      </c>
      <c r="B15" s="40">
        <v>3478912057643</v>
      </c>
      <c r="C15" t="s">
        <v>107</v>
      </c>
      <c r="D15" s="78">
        <f t="shared" si="0"/>
        <v>9547.7999999999993</v>
      </c>
      <c r="E15" s="1">
        <v>46037</v>
      </c>
      <c r="F15" s="86">
        <v>975</v>
      </c>
      <c r="G15" s="82">
        <v>0</v>
      </c>
      <c r="H15" t="s">
        <v>108</v>
      </c>
      <c r="I15" t="s">
        <v>78</v>
      </c>
      <c r="J15" t="s">
        <v>109</v>
      </c>
      <c r="K15" t="s">
        <v>110</v>
      </c>
      <c r="T15" s="81">
        <v>0.65625</v>
      </c>
      <c r="U15" s="1">
        <v>46019</v>
      </c>
      <c r="V15" t="s">
        <v>158</v>
      </c>
      <c r="W15" t="s">
        <v>112</v>
      </c>
      <c r="X15" s="77" t="s">
        <v>159</v>
      </c>
      <c r="Y15" t="s">
        <v>106</v>
      </c>
      <c r="Z15" t="s">
        <v>112</v>
      </c>
      <c r="AA15" s="77" t="s">
        <v>114</v>
      </c>
      <c r="AB15" t="s">
        <v>122</v>
      </c>
    </row>
    <row r="16" spans="1:28" x14ac:dyDescent="0.25">
      <c r="A16" t="s">
        <v>485</v>
      </c>
      <c r="B16" s="40">
        <v>3478912057643</v>
      </c>
      <c r="C16" t="s">
        <v>107</v>
      </c>
      <c r="D16" s="78">
        <f t="shared" si="0"/>
        <v>10497.8</v>
      </c>
      <c r="E16" s="1">
        <v>46038</v>
      </c>
      <c r="F16" s="86">
        <v>950</v>
      </c>
      <c r="G16" s="82">
        <v>0</v>
      </c>
      <c r="H16" t="s">
        <v>108</v>
      </c>
      <c r="I16" t="s">
        <v>78</v>
      </c>
      <c r="J16" t="s">
        <v>109</v>
      </c>
      <c r="K16" t="s">
        <v>110</v>
      </c>
      <c r="T16" s="81">
        <v>0.65625</v>
      </c>
      <c r="U16" s="1">
        <v>45926</v>
      </c>
      <c r="V16" t="s">
        <v>158</v>
      </c>
      <c r="W16" t="s">
        <v>160</v>
      </c>
      <c r="X16" s="77" t="s">
        <v>161</v>
      </c>
      <c r="Y16" t="s">
        <v>106</v>
      </c>
      <c r="Z16" t="s">
        <v>112</v>
      </c>
      <c r="AA16" s="77" t="s">
        <v>114</v>
      </c>
      <c r="AB16" t="s">
        <v>122</v>
      </c>
    </row>
    <row r="17" spans="1:28" x14ac:dyDescent="0.25">
      <c r="A17" t="s">
        <v>485</v>
      </c>
      <c r="B17" s="40">
        <v>3478912057643</v>
      </c>
      <c r="C17" t="s">
        <v>107</v>
      </c>
      <c r="D17" s="78">
        <f t="shared" si="0"/>
        <v>10417.81</v>
      </c>
      <c r="E17" s="1">
        <v>46038</v>
      </c>
      <c r="F17" s="82">
        <v>0</v>
      </c>
      <c r="G17" s="84">
        <v>79.989999999999995</v>
      </c>
      <c r="H17" t="s">
        <v>162</v>
      </c>
      <c r="I17" t="s">
        <v>80</v>
      </c>
      <c r="J17" t="s">
        <v>109</v>
      </c>
      <c r="K17" t="s">
        <v>163</v>
      </c>
      <c r="N17" t="s">
        <v>131</v>
      </c>
      <c r="O17" t="s">
        <v>132</v>
      </c>
      <c r="T17" s="81"/>
      <c r="U17" s="1">
        <v>46035</v>
      </c>
      <c r="V17" t="s">
        <v>106</v>
      </c>
      <c r="W17" t="s">
        <v>112</v>
      </c>
      <c r="X17" s="77" t="s">
        <v>114</v>
      </c>
      <c r="Y17" t="s">
        <v>164</v>
      </c>
      <c r="Z17" t="s">
        <v>152</v>
      </c>
      <c r="AA17" s="77" t="s">
        <v>165</v>
      </c>
    </row>
    <row r="18" spans="1:28" x14ac:dyDescent="0.25">
      <c r="A18" t="s">
        <v>485</v>
      </c>
      <c r="B18" s="40">
        <v>3478912057643</v>
      </c>
      <c r="C18" t="s">
        <v>107</v>
      </c>
      <c r="D18" s="78">
        <f t="shared" si="0"/>
        <v>10333.189999999999</v>
      </c>
      <c r="E18" s="1">
        <v>46041</v>
      </c>
      <c r="F18" s="82">
        <v>0</v>
      </c>
      <c r="G18" s="80">
        <v>84.62</v>
      </c>
      <c r="H18" t="s">
        <v>128</v>
      </c>
      <c r="I18" t="s">
        <v>80</v>
      </c>
      <c r="J18" t="s">
        <v>109</v>
      </c>
      <c r="K18" t="s">
        <v>166</v>
      </c>
      <c r="L18" t="s">
        <v>130</v>
      </c>
      <c r="N18" t="s">
        <v>131</v>
      </c>
      <c r="O18" t="s">
        <v>132</v>
      </c>
      <c r="P18">
        <v>75219</v>
      </c>
      <c r="S18" t="s">
        <v>167</v>
      </c>
      <c r="T18" s="81">
        <v>0.75624999999999998</v>
      </c>
      <c r="U18" s="1">
        <v>46056</v>
      </c>
      <c r="V18" t="s">
        <v>106</v>
      </c>
      <c r="W18" t="s">
        <v>112</v>
      </c>
      <c r="X18" s="77" t="s">
        <v>114</v>
      </c>
      <c r="Y18" t="s">
        <v>166</v>
      </c>
      <c r="AA18" s="77" t="s">
        <v>134</v>
      </c>
    </row>
    <row r="19" spans="1:28" x14ac:dyDescent="0.25">
      <c r="A19" t="s">
        <v>485</v>
      </c>
      <c r="B19" s="40">
        <v>3478912057643</v>
      </c>
      <c r="C19" t="s">
        <v>107</v>
      </c>
      <c r="D19" s="78">
        <f t="shared" si="0"/>
        <v>8654.5299999999988</v>
      </c>
      <c r="E19" s="1">
        <v>46042</v>
      </c>
      <c r="F19" s="82">
        <v>0</v>
      </c>
      <c r="G19" s="86">
        <v>1678.66</v>
      </c>
      <c r="H19" t="s">
        <v>79</v>
      </c>
      <c r="I19" t="s">
        <v>80</v>
      </c>
      <c r="J19" t="s">
        <v>109</v>
      </c>
      <c r="K19" t="s">
        <v>116</v>
      </c>
      <c r="T19" s="81">
        <v>0.57500000000000007</v>
      </c>
      <c r="U19" s="1">
        <v>46042</v>
      </c>
      <c r="V19" t="s">
        <v>106</v>
      </c>
      <c r="W19" t="s">
        <v>112</v>
      </c>
      <c r="X19" s="77" t="s">
        <v>114</v>
      </c>
      <c r="Y19" t="s">
        <v>168</v>
      </c>
      <c r="Z19" t="s">
        <v>112</v>
      </c>
      <c r="AA19" s="77" t="s">
        <v>169</v>
      </c>
      <c r="AB19" t="s">
        <v>154</v>
      </c>
    </row>
    <row r="20" spans="1:28" x14ac:dyDescent="0.25">
      <c r="A20" t="s">
        <v>485</v>
      </c>
      <c r="B20" s="40">
        <v>3478912057643</v>
      </c>
      <c r="C20" t="s">
        <v>107</v>
      </c>
      <c r="D20" s="78">
        <f t="shared" si="0"/>
        <v>9204.5299999999988</v>
      </c>
      <c r="E20" s="1">
        <v>46043</v>
      </c>
      <c r="F20" s="86">
        <v>550</v>
      </c>
      <c r="G20" s="82">
        <v>0</v>
      </c>
      <c r="H20" t="s">
        <v>108</v>
      </c>
      <c r="I20" t="s">
        <v>78</v>
      </c>
      <c r="J20" t="s">
        <v>109</v>
      </c>
      <c r="K20" t="s">
        <v>110</v>
      </c>
      <c r="T20" s="81">
        <v>0.65625</v>
      </c>
      <c r="U20" s="1">
        <v>45937</v>
      </c>
      <c r="V20" s="1" t="s">
        <v>170</v>
      </c>
      <c r="W20" t="s">
        <v>152</v>
      </c>
      <c r="X20" s="77" t="s">
        <v>171</v>
      </c>
      <c r="Y20" t="s">
        <v>106</v>
      </c>
      <c r="Z20" t="s">
        <v>112</v>
      </c>
      <c r="AA20" s="77" t="s">
        <v>114</v>
      </c>
      <c r="AB20" t="s">
        <v>122</v>
      </c>
    </row>
    <row r="21" spans="1:28" x14ac:dyDescent="0.25">
      <c r="A21" t="s">
        <v>485</v>
      </c>
      <c r="B21" s="40">
        <v>3478912057643</v>
      </c>
      <c r="C21" t="s">
        <v>107</v>
      </c>
      <c r="D21" s="78">
        <f t="shared" si="0"/>
        <v>9754.5299999999988</v>
      </c>
      <c r="E21" s="1">
        <v>46051</v>
      </c>
      <c r="F21" s="86">
        <v>550</v>
      </c>
      <c r="G21" s="82">
        <v>0</v>
      </c>
      <c r="H21" t="s">
        <v>108</v>
      </c>
      <c r="I21" t="s">
        <v>78</v>
      </c>
      <c r="J21" t="s">
        <v>109</v>
      </c>
      <c r="K21" t="s">
        <v>110</v>
      </c>
      <c r="T21" s="81">
        <v>0.54166666666666663</v>
      </c>
      <c r="U21" s="1">
        <v>46003</v>
      </c>
      <c r="V21" s="1" t="s">
        <v>111</v>
      </c>
      <c r="W21" t="s">
        <v>112</v>
      </c>
      <c r="X21" s="77" t="s">
        <v>172</v>
      </c>
      <c r="Y21" t="s">
        <v>106</v>
      </c>
      <c r="Z21" t="s">
        <v>112</v>
      </c>
      <c r="AA21" s="77" t="s">
        <v>114</v>
      </c>
      <c r="AB21" t="s">
        <v>115</v>
      </c>
    </row>
    <row r="22" spans="1:28" x14ac:dyDescent="0.25">
      <c r="A22" t="s">
        <v>485</v>
      </c>
      <c r="B22" s="40">
        <v>3478912057643</v>
      </c>
      <c r="C22" t="s">
        <v>107</v>
      </c>
      <c r="D22" s="78">
        <f t="shared" si="0"/>
        <v>9729.6299999999992</v>
      </c>
      <c r="E22" s="1">
        <v>46051</v>
      </c>
      <c r="F22" s="82">
        <v>0</v>
      </c>
      <c r="G22" s="80">
        <v>24.9</v>
      </c>
      <c r="H22" t="s">
        <v>128</v>
      </c>
      <c r="I22" t="s">
        <v>80</v>
      </c>
      <c r="J22" t="s">
        <v>109</v>
      </c>
      <c r="K22" t="s">
        <v>173</v>
      </c>
      <c r="L22" t="s">
        <v>130</v>
      </c>
      <c r="N22" t="s">
        <v>131</v>
      </c>
      <c r="O22" t="s">
        <v>132</v>
      </c>
      <c r="P22">
        <v>75219</v>
      </c>
      <c r="S22" t="s">
        <v>174</v>
      </c>
      <c r="T22" s="81">
        <v>0.72083333333333333</v>
      </c>
      <c r="U22" s="1">
        <v>46069</v>
      </c>
      <c r="V22" t="s">
        <v>106</v>
      </c>
      <c r="W22" t="s">
        <v>112</v>
      </c>
      <c r="X22" s="77" t="s">
        <v>114</v>
      </c>
      <c r="Y22" t="s">
        <v>173</v>
      </c>
      <c r="AA22" s="77" t="s">
        <v>134</v>
      </c>
    </row>
    <row r="23" spans="1:28" x14ac:dyDescent="0.25">
      <c r="A23" t="s">
        <v>485</v>
      </c>
      <c r="B23" s="40">
        <v>3478912057643</v>
      </c>
      <c r="C23" t="s">
        <v>107</v>
      </c>
      <c r="D23" s="78">
        <f t="shared" si="0"/>
        <v>8042.9</v>
      </c>
      <c r="E23" s="1">
        <v>46051</v>
      </c>
      <c r="F23" s="82">
        <v>0</v>
      </c>
      <c r="G23" s="86">
        <v>1686.73</v>
      </c>
      <c r="H23" t="s">
        <v>79</v>
      </c>
      <c r="I23" t="s">
        <v>80</v>
      </c>
      <c r="J23" t="s">
        <v>109</v>
      </c>
      <c r="K23" t="s">
        <v>116</v>
      </c>
      <c r="T23" s="81">
        <v>0.64166666666666672</v>
      </c>
      <c r="U23" s="1">
        <v>46051</v>
      </c>
      <c r="V23" t="s">
        <v>106</v>
      </c>
      <c r="W23" t="s">
        <v>112</v>
      </c>
      <c r="X23" s="77" t="s">
        <v>114</v>
      </c>
      <c r="Y23" t="s">
        <v>156</v>
      </c>
      <c r="Z23" t="s">
        <v>152</v>
      </c>
      <c r="AA23" s="77" t="s">
        <v>157</v>
      </c>
    </row>
    <row r="24" spans="1:28" x14ac:dyDescent="0.25">
      <c r="A24" t="s">
        <v>485</v>
      </c>
      <c r="B24" s="40">
        <v>3478912057643</v>
      </c>
      <c r="C24" t="s">
        <v>107</v>
      </c>
      <c r="D24" s="78">
        <f t="shared" si="0"/>
        <v>7950.7199999999993</v>
      </c>
      <c r="E24" s="1">
        <v>46055</v>
      </c>
      <c r="F24" s="82">
        <v>0</v>
      </c>
      <c r="G24" s="80">
        <v>92.18</v>
      </c>
      <c r="H24" t="s">
        <v>128</v>
      </c>
      <c r="I24" t="s">
        <v>80</v>
      </c>
      <c r="J24" t="s">
        <v>109</v>
      </c>
      <c r="K24" t="s">
        <v>166</v>
      </c>
      <c r="L24" t="s">
        <v>130</v>
      </c>
      <c r="N24" t="s">
        <v>131</v>
      </c>
      <c r="O24" t="s">
        <v>132</v>
      </c>
      <c r="P24">
        <v>75219</v>
      </c>
      <c r="S24" t="s">
        <v>175</v>
      </c>
      <c r="T24" s="81">
        <v>0.75416666666666676</v>
      </c>
      <c r="U24" s="1">
        <v>46038</v>
      </c>
      <c r="V24" t="s">
        <v>106</v>
      </c>
      <c r="W24" t="s">
        <v>112</v>
      </c>
      <c r="X24" s="77" t="s">
        <v>114</v>
      </c>
      <c r="Y24" t="s">
        <v>166</v>
      </c>
      <c r="AA24" s="77" t="s">
        <v>134</v>
      </c>
    </row>
    <row r="25" spans="1:28" x14ac:dyDescent="0.25">
      <c r="A25" t="s">
        <v>485</v>
      </c>
      <c r="B25" s="40">
        <v>3478912057643</v>
      </c>
      <c r="C25" t="s">
        <v>107</v>
      </c>
      <c r="D25" s="78">
        <f t="shared" si="0"/>
        <v>8775.7199999999993</v>
      </c>
      <c r="E25" s="1">
        <v>46056</v>
      </c>
      <c r="F25" s="86">
        <v>825</v>
      </c>
      <c r="G25" s="82">
        <v>0</v>
      </c>
      <c r="H25" t="s">
        <v>108</v>
      </c>
      <c r="I25" t="s">
        <v>78</v>
      </c>
      <c r="J25" t="s">
        <v>109</v>
      </c>
      <c r="K25" t="s">
        <v>110</v>
      </c>
      <c r="T25" s="81">
        <v>0.71875</v>
      </c>
      <c r="U25" s="1">
        <v>45960</v>
      </c>
      <c r="V25" s="1" t="s">
        <v>176</v>
      </c>
      <c r="W25" t="s">
        <v>112</v>
      </c>
      <c r="X25" s="77" t="s">
        <v>177</v>
      </c>
      <c r="Y25" t="s">
        <v>106</v>
      </c>
      <c r="Z25" t="s">
        <v>112</v>
      </c>
      <c r="AA25" s="77" t="s">
        <v>114</v>
      </c>
    </row>
    <row r="26" spans="1:28" x14ac:dyDescent="0.25">
      <c r="A26" t="s">
        <v>485</v>
      </c>
      <c r="B26" s="40">
        <v>3478912057643</v>
      </c>
      <c r="C26" t="s">
        <v>107</v>
      </c>
      <c r="D26" s="78">
        <f t="shared" si="0"/>
        <v>8727.9</v>
      </c>
      <c r="E26" s="1">
        <v>46056</v>
      </c>
      <c r="F26" s="82">
        <v>0</v>
      </c>
      <c r="G26" s="80">
        <v>47.82</v>
      </c>
      <c r="H26" t="s">
        <v>128</v>
      </c>
      <c r="I26" t="s">
        <v>80</v>
      </c>
      <c r="J26" t="s">
        <v>109</v>
      </c>
      <c r="K26" t="s">
        <v>178</v>
      </c>
      <c r="L26" t="s">
        <v>130</v>
      </c>
      <c r="N26" t="s">
        <v>131</v>
      </c>
      <c r="O26" t="s">
        <v>132</v>
      </c>
      <c r="P26">
        <v>75219</v>
      </c>
      <c r="S26" t="s">
        <v>179</v>
      </c>
      <c r="T26" s="81">
        <v>0.35833333333333334</v>
      </c>
      <c r="U26" s="1">
        <v>46071</v>
      </c>
      <c r="V26" t="s">
        <v>106</v>
      </c>
      <c r="W26" t="s">
        <v>112</v>
      </c>
      <c r="X26" s="77" t="s">
        <v>114</v>
      </c>
      <c r="Y26" t="s">
        <v>180</v>
      </c>
      <c r="AA26" s="77" t="s">
        <v>134</v>
      </c>
    </row>
    <row r="27" spans="1:28" x14ac:dyDescent="0.25">
      <c r="A27" t="s">
        <v>485</v>
      </c>
      <c r="B27" s="40">
        <v>3478912057643</v>
      </c>
      <c r="C27" t="s">
        <v>107</v>
      </c>
      <c r="D27" s="78">
        <f t="shared" si="0"/>
        <v>7016.44</v>
      </c>
      <c r="E27" s="1">
        <v>46056</v>
      </c>
      <c r="F27" s="82">
        <v>0</v>
      </c>
      <c r="G27" s="86">
        <v>1711.46</v>
      </c>
      <c r="H27" t="s">
        <v>79</v>
      </c>
      <c r="I27" t="s">
        <v>80</v>
      </c>
      <c r="J27" t="s">
        <v>109</v>
      </c>
      <c r="K27" t="s">
        <v>116</v>
      </c>
      <c r="T27" s="81">
        <v>0.375</v>
      </c>
      <c r="U27" s="1">
        <v>46056</v>
      </c>
      <c r="V27" t="s">
        <v>106</v>
      </c>
      <c r="W27" t="s">
        <v>112</v>
      </c>
      <c r="X27" s="77" t="s">
        <v>114</v>
      </c>
      <c r="Y27" t="s">
        <v>125</v>
      </c>
      <c r="Z27" t="s">
        <v>126</v>
      </c>
      <c r="AA27" s="77" t="s">
        <v>127</v>
      </c>
    </row>
    <row r="28" spans="1:28" x14ac:dyDescent="0.25">
      <c r="A28" t="s">
        <v>485</v>
      </c>
      <c r="B28" s="40">
        <v>3478912057643</v>
      </c>
      <c r="C28" t="s">
        <v>107</v>
      </c>
      <c r="D28" s="78">
        <f t="shared" si="0"/>
        <v>9466.4399999999987</v>
      </c>
      <c r="E28" s="1">
        <v>46056</v>
      </c>
      <c r="F28" s="84">
        <v>2450</v>
      </c>
      <c r="G28" s="82">
        <v>0</v>
      </c>
      <c r="H28" t="s">
        <v>162</v>
      </c>
      <c r="I28" t="s">
        <v>78</v>
      </c>
      <c r="J28" t="s">
        <v>109</v>
      </c>
      <c r="K28" t="s">
        <v>181</v>
      </c>
      <c r="T28" s="81"/>
      <c r="U28" s="1">
        <v>46076</v>
      </c>
      <c r="V28" t="s">
        <v>56</v>
      </c>
      <c r="W28" t="s">
        <v>112</v>
      </c>
      <c r="X28" s="77" t="s">
        <v>182</v>
      </c>
      <c r="Y28" t="s">
        <v>106</v>
      </c>
      <c r="Z28" t="s">
        <v>112</v>
      </c>
      <c r="AA28" s="77" t="s">
        <v>114</v>
      </c>
    </row>
    <row r="29" spans="1:28" x14ac:dyDescent="0.25">
      <c r="A29" t="s">
        <v>485</v>
      </c>
      <c r="B29" s="40">
        <v>3478912057643</v>
      </c>
      <c r="C29" t="s">
        <v>107</v>
      </c>
      <c r="D29" s="78">
        <f t="shared" si="0"/>
        <v>7775.3799999999992</v>
      </c>
      <c r="E29" s="1">
        <v>46059</v>
      </c>
      <c r="F29" s="82">
        <v>0</v>
      </c>
      <c r="G29" s="86">
        <v>1691.06</v>
      </c>
      <c r="H29" t="s">
        <v>79</v>
      </c>
      <c r="I29" t="s">
        <v>80</v>
      </c>
      <c r="J29" t="s">
        <v>109</v>
      </c>
      <c r="K29" t="s">
        <v>116</v>
      </c>
      <c r="T29" s="81">
        <v>0.54166666666666663</v>
      </c>
      <c r="U29" s="1">
        <v>46059</v>
      </c>
      <c r="V29" t="s">
        <v>106</v>
      </c>
      <c r="W29" t="s">
        <v>112</v>
      </c>
      <c r="X29" s="77" t="s">
        <v>114</v>
      </c>
      <c r="Y29" t="s">
        <v>125</v>
      </c>
      <c r="Z29" t="s">
        <v>126</v>
      </c>
      <c r="AA29" s="77" t="s">
        <v>127</v>
      </c>
    </row>
    <row r="30" spans="1:28" x14ac:dyDescent="0.25">
      <c r="A30" t="s">
        <v>485</v>
      </c>
      <c r="B30" s="40">
        <v>3478912057643</v>
      </c>
      <c r="C30" t="s">
        <v>107</v>
      </c>
      <c r="D30" s="78">
        <f t="shared" si="0"/>
        <v>6032.4999999999991</v>
      </c>
      <c r="E30" s="1">
        <v>46062</v>
      </c>
      <c r="F30" s="82">
        <v>0</v>
      </c>
      <c r="G30" s="86">
        <v>1742.88</v>
      </c>
      <c r="H30" t="s">
        <v>79</v>
      </c>
      <c r="I30" t="s">
        <v>80</v>
      </c>
      <c r="J30" t="s">
        <v>109</v>
      </c>
      <c r="K30" t="s">
        <v>116</v>
      </c>
      <c r="T30" s="81">
        <v>0.57500000000000007</v>
      </c>
      <c r="U30" s="1">
        <v>46062</v>
      </c>
      <c r="V30" t="s">
        <v>106</v>
      </c>
      <c r="W30" t="s">
        <v>112</v>
      </c>
      <c r="X30" s="77" t="s">
        <v>114</v>
      </c>
      <c r="Y30" t="s">
        <v>168</v>
      </c>
      <c r="Z30" t="s">
        <v>112</v>
      </c>
      <c r="AA30" s="77" t="s">
        <v>169</v>
      </c>
      <c r="AB30" t="s">
        <v>154</v>
      </c>
    </row>
    <row r="31" spans="1:28" x14ac:dyDescent="0.25">
      <c r="A31" t="s">
        <v>485</v>
      </c>
      <c r="B31" s="40">
        <v>3478912057643</v>
      </c>
      <c r="C31" t="s">
        <v>107</v>
      </c>
      <c r="D31" s="78">
        <f t="shared" si="0"/>
        <v>6632.4999999999991</v>
      </c>
      <c r="E31" s="1">
        <v>46063</v>
      </c>
      <c r="F31" s="86">
        <v>600</v>
      </c>
      <c r="G31" s="82">
        <v>0</v>
      </c>
      <c r="H31" t="s">
        <v>108</v>
      </c>
      <c r="I31" t="s">
        <v>78</v>
      </c>
      <c r="J31" t="s">
        <v>109</v>
      </c>
      <c r="K31" t="s">
        <v>110</v>
      </c>
      <c r="T31" s="81">
        <v>0.71875</v>
      </c>
      <c r="U31" s="1">
        <v>45927</v>
      </c>
      <c r="V31" t="s">
        <v>123</v>
      </c>
      <c r="W31" t="s">
        <v>183</v>
      </c>
      <c r="X31" s="77" t="s">
        <v>184</v>
      </c>
      <c r="Y31" t="s">
        <v>106</v>
      </c>
      <c r="Z31" t="s">
        <v>112</v>
      </c>
      <c r="AA31" s="77" t="s">
        <v>114</v>
      </c>
    </row>
    <row r="32" spans="1:28" x14ac:dyDescent="0.25">
      <c r="A32" t="s">
        <v>485</v>
      </c>
      <c r="B32" s="40">
        <v>3478912057643</v>
      </c>
      <c r="C32" t="s">
        <v>107</v>
      </c>
      <c r="D32" s="78">
        <f t="shared" si="0"/>
        <v>8232.5</v>
      </c>
      <c r="E32" s="1">
        <v>46063</v>
      </c>
      <c r="F32" s="86">
        <v>1600</v>
      </c>
      <c r="G32" s="82">
        <v>0</v>
      </c>
      <c r="H32" t="s">
        <v>108</v>
      </c>
      <c r="I32" t="s">
        <v>78</v>
      </c>
      <c r="J32" t="s">
        <v>109</v>
      </c>
      <c r="K32" t="s">
        <v>110</v>
      </c>
      <c r="T32" s="81">
        <v>0.54166666666666663</v>
      </c>
      <c r="U32" s="1">
        <v>46019</v>
      </c>
      <c r="V32" t="s">
        <v>185</v>
      </c>
      <c r="W32" t="s">
        <v>118</v>
      </c>
      <c r="X32" s="77" t="s">
        <v>186</v>
      </c>
      <c r="Y32" t="s">
        <v>106</v>
      </c>
      <c r="Z32" t="s">
        <v>112</v>
      </c>
      <c r="AA32" s="77" t="s">
        <v>114</v>
      </c>
      <c r="AB32" t="s">
        <v>115</v>
      </c>
    </row>
    <row r="33" spans="1:28" x14ac:dyDescent="0.25">
      <c r="A33" t="s">
        <v>485</v>
      </c>
      <c r="B33" s="40">
        <v>3478912057643</v>
      </c>
      <c r="C33" t="s">
        <v>107</v>
      </c>
      <c r="D33" s="78">
        <f t="shared" si="0"/>
        <v>8132.5</v>
      </c>
      <c r="E33" s="1">
        <v>46064</v>
      </c>
      <c r="F33" s="82">
        <v>0</v>
      </c>
      <c r="G33" s="83">
        <v>100</v>
      </c>
      <c r="H33" t="s">
        <v>187</v>
      </c>
      <c r="I33" t="s">
        <v>80</v>
      </c>
      <c r="J33" t="s">
        <v>109</v>
      </c>
      <c r="K33" t="s">
        <v>188</v>
      </c>
      <c r="L33" t="s">
        <v>130</v>
      </c>
      <c r="N33" t="s">
        <v>131</v>
      </c>
      <c r="O33" t="s">
        <v>132</v>
      </c>
      <c r="S33" t="s">
        <v>189</v>
      </c>
      <c r="T33" s="81">
        <v>0.84375</v>
      </c>
      <c r="U33" s="1">
        <v>46037</v>
      </c>
      <c r="V33" t="s">
        <v>106</v>
      </c>
      <c r="W33" t="s">
        <v>112</v>
      </c>
      <c r="X33" s="77" t="s">
        <v>114</v>
      </c>
      <c r="Y33" t="s">
        <v>190</v>
      </c>
      <c r="Z33" t="s">
        <v>112</v>
      </c>
      <c r="AA33" s="77" t="s">
        <v>134</v>
      </c>
    </row>
    <row r="34" spans="1:28" x14ac:dyDescent="0.25">
      <c r="A34" t="s">
        <v>485</v>
      </c>
      <c r="B34" s="40">
        <v>3478912057643</v>
      </c>
      <c r="C34" t="s">
        <v>107</v>
      </c>
      <c r="D34" s="78">
        <f t="shared" si="0"/>
        <v>6082.5</v>
      </c>
      <c r="E34" s="1">
        <v>46065</v>
      </c>
      <c r="F34" s="82">
        <v>0</v>
      </c>
      <c r="G34" s="86">
        <v>2050</v>
      </c>
      <c r="H34" t="s">
        <v>108</v>
      </c>
      <c r="I34" t="s">
        <v>80</v>
      </c>
      <c r="J34" t="s">
        <v>109</v>
      </c>
      <c r="K34" t="s">
        <v>116</v>
      </c>
      <c r="T34" s="81">
        <v>0.79166666666666663</v>
      </c>
      <c r="U34" s="1">
        <v>46019</v>
      </c>
      <c r="V34" t="s">
        <v>106</v>
      </c>
      <c r="W34" t="s">
        <v>112</v>
      </c>
      <c r="X34" s="77" t="s">
        <v>114</v>
      </c>
      <c r="Y34" t="s">
        <v>168</v>
      </c>
      <c r="Z34" t="s">
        <v>112</v>
      </c>
      <c r="AA34" s="77" t="s">
        <v>191</v>
      </c>
    </row>
    <row r="35" spans="1:28" x14ac:dyDescent="0.25">
      <c r="A35" t="s">
        <v>485</v>
      </c>
      <c r="B35" s="40">
        <v>3478912057643</v>
      </c>
      <c r="C35" t="s">
        <v>107</v>
      </c>
      <c r="D35" s="78">
        <f t="shared" ref="D35:D66" si="1">D34+F35-G35</f>
        <v>6015.22</v>
      </c>
      <c r="E35" s="1">
        <v>46065</v>
      </c>
      <c r="F35" s="82">
        <v>0</v>
      </c>
      <c r="G35" s="80">
        <v>67.28</v>
      </c>
      <c r="H35" t="s">
        <v>128</v>
      </c>
      <c r="I35" t="s">
        <v>80</v>
      </c>
      <c r="J35" t="s">
        <v>109</v>
      </c>
      <c r="K35" t="s">
        <v>192</v>
      </c>
      <c r="L35" t="s">
        <v>130</v>
      </c>
      <c r="N35" t="s">
        <v>131</v>
      </c>
      <c r="O35" t="s">
        <v>132</v>
      </c>
      <c r="P35">
        <v>75219</v>
      </c>
      <c r="S35" t="s">
        <v>193</v>
      </c>
      <c r="T35" s="81">
        <v>0.79583333333333339</v>
      </c>
      <c r="U35" s="1">
        <v>46051</v>
      </c>
      <c r="V35" t="s">
        <v>106</v>
      </c>
      <c r="W35" t="s">
        <v>112</v>
      </c>
      <c r="X35" s="77" t="s">
        <v>114</v>
      </c>
      <c r="Y35" t="s">
        <v>192</v>
      </c>
      <c r="AA35" s="77" t="s">
        <v>134</v>
      </c>
    </row>
    <row r="36" spans="1:28" x14ac:dyDescent="0.25">
      <c r="A36" t="s">
        <v>485</v>
      </c>
      <c r="B36" s="40">
        <v>3478912057643</v>
      </c>
      <c r="C36" t="s">
        <v>107</v>
      </c>
      <c r="D36" s="78">
        <f t="shared" si="1"/>
        <v>4565.22</v>
      </c>
      <c r="E36" s="1">
        <v>46065</v>
      </c>
      <c r="F36" s="82">
        <v>0</v>
      </c>
      <c r="G36" s="84">
        <v>1450</v>
      </c>
      <c r="H36" t="s">
        <v>162</v>
      </c>
      <c r="I36" t="s">
        <v>80</v>
      </c>
      <c r="J36" t="s">
        <v>109</v>
      </c>
      <c r="K36" t="s">
        <v>194</v>
      </c>
      <c r="N36" t="s">
        <v>131</v>
      </c>
      <c r="O36" t="s">
        <v>132</v>
      </c>
      <c r="P36">
        <v>75219</v>
      </c>
      <c r="T36" s="81"/>
      <c r="U36" s="1">
        <v>46054</v>
      </c>
      <c r="V36" t="s">
        <v>106</v>
      </c>
      <c r="W36" t="s">
        <v>112</v>
      </c>
      <c r="X36" s="77" t="s">
        <v>114</v>
      </c>
      <c r="Y36" t="s">
        <v>195</v>
      </c>
      <c r="Z36" t="s">
        <v>126</v>
      </c>
      <c r="AA36" s="77" t="s">
        <v>196</v>
      </c>
    </row>
    <row r="37" spans="1:28" x14ac:dyDescent="0.25">
      <c r="A37" t="s">
        <v>485</v>
      </c>
      <c r="B37" s="40">
        <v>3478912057643</v>
      </c>
      <c r="C37" t="s">
        <v>107</v>
      </c>
      <c r="D37" s="78">
        <f t="shared" si="1"/>
        <v>2880.51</v>
      </c>
      <c r="E37" s="1">
        <v>46065</v>
      </c>
      <c r="F37" s="82">
        <v>0</v>
      </c>
      <c r="G37" s="86">
        <v>1684.71</v>
      </c>
      <c r="H37" t="s">
        <v>79</v>
      </c>
      <c r="I37" t="s">
        <v>80</v>
      </c>
      <c r="J37" t="s">
        <v>109</v>
      </c>
      <c r="K37" t="s">
        <v>116</v>
      </c>
      <c r="T37" s="81">
        <v>0.60833333333333339</v>
      </c>
      <c r="U37" s="1">
        <v>46065</v>
      </c>
      <c r="V37" t="s">
        <v>106</v>
      </c>
      <c r="W37" t="s">
        <v>112</v>
      </c>
      <c r="X37" s="77" t="s">
        <v>114</v>
      </c>
      <c r="Y37" t="s">
        <v>117</v>
      </c>
      <c r="Z37" t="s">
        <v>118</v>
      </c>
      <c r="AA37" s="77" t="s">
        <v>119</v>
      </c>
    </row>
    <row r="38" spans="1:28" x14ac:dyDescent="0.25">
      <c r="A38" t="s">
        <v>485</v>
      </c>
      <c r="B38" s="40">
        <v>3478912057643</v>
      </c>
      <c r="C38" t="s">
        <v>107</v>
      </c>
      <c r="D38" s="78">
        <f t="shared" si="1"/>
        <v>3380.51</v>
      </c>
      <c r="E38" s="1">
        <v>46066</v>
      </c>
      <c r="F38" s="86">
        <v>500</v>
      </c>
      <c r="G38" s="82">
        <v>0</v>
      </c>
      <c r="H38" t="s">
        <v>108</v>
      </c>
      <c r="I38" t="s">
        <v>78</v>
      </c>
      <c r="J38" t="s">
        <v>109</v>
      </c>
      <c r="K38" t="s">
        <v>110</v>
      </c>
      <c r="T38" s="81">
        <v>0.65625</v>
      </c>
      <c r="U38" s="1">
        <v>45893</v>
      </c>
      <c r="V38" s="1" t="s">
        <v>170</v>
      </c>
      <c r="W38" t="s">
        <v>118</v>
      </c>
      <c r="X38" s="77" t="s">
        <v>197</v>
      </c>
      <c r="Y38" t="s">
        <v>106</v>
      </c>
      <c r="Z38" t="s">
        <v>112</v>
      </c>
      <c r="AA38" s="77" t="s">
        <v>114</v>
      </c>
      <c r="AB38" t="s">
        <v>122</v>
      </c>
    </row>
    <row r="39" spans="1:28" x14ac:dyDescent="0.25">
      <c r="A39" t="s">
        <v>485</v>
      </c>
      <c r="B39" s="40">
        <v>3478912057643</v>
      </c>
      <c r="C39" t="s">
        <v>107</v>
      </c>
      <c r="D39" s="78">
        <f t="shared" si="1"/>
        <v>5930.51</v>
      </c>
      <c r="E39" s="1">
        <v>46069</v>
      </c>
      <c r="F39" s="86">
        <v>2550</v>
      </c>
      <c r="G39" s="82">
        <v>0</v>
      </c>
      <c r="H39" t="s">
        <v>108</v>
      </c>
      <c r="I39" t="s">
        <v>78</v>
      </c>
      <c r="J39" t="s">
        <v>109</v>
      </c>
      <c r="K39" t="s">
        <v>110</v>
      </c>
      <c r="T39" s="81">
        <v>0.47916666666666669</v>
      </c>
      <c r="U39" s="1">
        <v>45903</v>
      </c>
      <c r="V39" t="s">
        <v>145</v>
      </c>
      <c r="W39" t="s">
        <v>160</v>
      </c>
      <c r="X39" s="77" t="s">
        <v>198</v>
      </c>
      <c r="Y39" t="s">
        <v>106</v>
      </c>
      <c r="Z39" t="s">
        <v>112</v>
      </c>
      <c r="AA39" s="77" t="s">
        <v>114</v>
      </c>
    </row>
    <row r="40" spans="1:28" x14ac:dyDescent="0.25">
      <c r="A40" t="s">
        <v>485</v>
      </c>
      <c r="B40" s="40">
        <v>3478912057643</v>
      </c>
      <c r="C40" t="s">
        <v>107</v>
      </c>
      <c r="D40" s="78">
        <f t="shared" si="1"/>
        <v>6530.51</v>
      </c>
      <c r="E40" s="1">
        <v>46069</v>
      </c>
      <c r="F40" s="86">
        <v>600</v>
      </c>
      <c r="G40" s="82">
        <v>0</v>
      </c>
      <c r="H40" t="s">
        <v>108</v>
      </c>
      <c r="I40" t="s">
        <v>78</v>
      </c>
      <c r="J40" t="s">
        <v>109</v>
      </c>
      <c r="K40" t="s">
        <v>110</v>
      </c>
      <c r="T40" s="81">
        <v>0.47916666666666669</v>
      </c>
      <c r="U40" s="1">
        <v>45958</v>
      </c>
      <c r="V40" t="s">
        <v>199</v>
      </c>
      <c r="W40" t="s">
        <v>183</v>
      </c>
      <c r="X40" s="77" t="s">
        <v>200</v>
      </c>
      <c r="Y40" t="s">
        <v>106</v>
      </c>
      <c r="Z40" t="s">
        <v>112</v>
      </c>
      <c r="AA40" s="77" t="s">
        <v>114</v>
      </c>
    </row>
    <row r="41" spans="1:28" x14ac:dyDescent="0.25">
      <c r="A41" t="s">
        <v>485</v>
      </c>
      <c r="B41" s="40">
        <v>3478912057643</v>
      </c>
      <c r="C41" t="s">
        <v>107</v>
      </c>
      <c r="D41" s="78">
        <f t="shared" si="1"/>
        <v>7180.51</v>
      </c>
      <c r="E41" s="1">
        <v>46069</v>
      </c>
      <c r="F41" s="86">
        <v>650</v>
      </c>
      <c r="G41" s="82">
        <v>0</v>
      </c>
      <c r="H41" t="s">
        <v>108</v>
      </c>
      <c r="I41" t="s">
        <v>78</v>
      </c>
      <c r="J41" t="s">
        <v>109</v>
      </c>
      <c r="K41" t="s">
        <v>110</v>
      </c>
      <c r="T41" s="81">
        <v>0.47916666666666669</v>
      </c>
      <c r="U41" s="1">
        <v>45980</v>
      </c>
      <c r="V41" t="s">
        <v>201</v>
      </c>
      <c r="W41" t="s">
        <v>152</v>
      </c>
      <c r="X41" s="77" t="s">
        <v>202</v>
      </c>
      <c r="Y41" t="s">
        <v>106</v>
      </c>
      <c r="Z41" t="s">
        <v>112</v>
      </c>
      <c r="AA41" s="77" t="s">
        <v>114</v>
      </c>
    </row>
    <row r="42" spans="1:28" x14ac:dyDescent="0.25">
      <c r="A42" t="s">
        <v>485</v>
      </c>
      <c r="B42" s="40">
        <v>3478912057643</v>
      </c>
      <c r="C42" t="s">
        <v>107</v>
      </c>
      <c r="D42" s="78">
        <f t="shared" si="1"/>
        <v>3680.51</v>
      </c>
      <c r="E42" s="1">
        <v>46069</v>
      </c>
      <c r="F42" s="82">
        <v>0</v>
      </c>
      <c r="G42" s="85">
        <v>3500</v>
      </c>
      <c r="H42" t="s">
        <v>203</v>
      </c>
      <c r="I42" t="s">
        <v>80</v>
      </c>
      <c r="J42" t="s">
        <v>109</v>
      </c>
      <c r="K42" t="s">
        <v>204</v>
      </c>
      <c r="T42" s="81"/>
      <c r="U42" s="1">
        <v>46062</v>
      </c>
      <c r="V42" t="s">
        <v>106</v>
      </c>
      <c r="W42" t="s">
        <v>112</v>
      </c>
      <c r="X42" s="77" t="s">
        <v>114</v>
      </c>
      <c r="Y42" t="s">
        <v>106</v>
      </c>
      <c r="Z42" t="s">
        <v>112</v>
      </c>
      <c r="AA42" s="77" t="s">
        <v>205</v>
      </c>
    </row>
    <row r="43" spans="1:28" x14ac:dyDescent="0.25">
      <c r="A43" t="s">
        <v>485</v>
      </c>
      <c r="B43" s="40">
        <v>3478912057643</v>
      </c>
      <c r="C43" t="s">
        <v>107</v>
      </c>
      <c r="D43" s="78">
        <f t="shared" si="1"/>
        <v>480.51000000000022</v>
      </c>
      <c r="E43" s="1">
        <v>46070</v>
      </c>
      <c r="F43" s="82">
        <v>0</v>
      </c>
      <c r="G43" s="86">
        <v>3200</v>
      </c>
      <c r="H43" t="s">
        <v>108</v>
      </c>
      <c r="I43" t="s">
        <v>80</v>
      </c>
      <c r="J43" t="s">
        <v>109</v>
      </c>
      <c r="K43" t="s">
        <v>116</v>
      </c>
      <c r="T43" s="81">
        <v>0.77083333333333337</v>
      </c>
      <c r="U43" s="1">
        <v>45872</v>
      </c>
      <c r="V43" t="s">
        <v>106</v>
      </c>
      <c r="W43" t="s">
        <v>112</v>
      </c>
      <c r="X43" s="77" t="s">
        <v>114</v>
      </c>
      <c r="Y43" t="s">
        <v>125</v>
      </c>
      <c r="Z43" t="s">
        <v>126</v>
      </c>
      <c r="AA43" s="77" t="s">
        <v>206</v>
      </c>
    </row>
    <row r="44" spans="1:28" x14ac:dyDescent="0.25">
      <c r="A44" t="s">
        <v>485</v>
      </c>
      <c r="B44" s="40">
        <v>3478912057643</v>
      </c>
      <c r="C44" t="s">
        <v>107</v>
      </c>
      <c r="D44" s="78">
        <f t="shared" si="1"/>
        <v>348.06000000000023</v>
      </c>
      <c r="E44" s="1">
        <v>46070</v>
      </c>
      <c r="F44" s="82">
        <v>0</v>
      </c>
      <c r="G44" s="80">
        <v>132.44999999999999</v>
      </c>
      <c r="H44" t="s">
        <v>128</v>
      </c>
      <c r="I44" t="s">
        <v>80</v>
      </c>
      <c r="J44" t="s">
        <v>109</v>
      </c>
      <c r="K44" t="s">
        <v>166</v>
      </c>
      <c r="L44" t="s">
        <v>130</v>
      </c>
      <c r="N44" t="s">
        <v>131</v>
      </c>
      <c r="O44" t="s">
        <v>132</v>
      </c>
      <c r="T44" s="81">
        <v>0.71875</v>
      </c>
      <c r="U44" s="1">
        <v>46021</v>
      </c>
      <c r="V44" t="s">
        <v>106</v>
      </c>
      <c r="W44" t="s">
        <v>112</v>
      </c>
      <c r="X44" s="77" t="s">
        <v>114</v>
      </c>
      <c r="Y44" t="s">
        <v>166</v>
      </c>
      <c r="AA44" s="77" t="s">
        <v>134</v>
      </c>
    </row>
    <row r="45" spans="1:28" x14ac:dyDescent="0.25">
      <c r="A45" t="s">
        <v>485</v>
      </c>
      <c r="B45" s="40">
        <v>3478912057643</v>
      </c>
      <c r="C45" t="s">
        <v>107</v>
      </c>
      <c r="D45" s="78">
        <f t="shared" si="1"/>
        <v>4448.0600000000004</v>
      </c>
      <c r="E45" s="1">
        <v>46071</v>
      </c>
      <c r="F45" s="83">
        <v>4100</v>
      </c>
      <c r="G45" s="82">
        <v>0</v>
      </c>
      <c r="H45" t="s">
        <v>135</v>
      </c>
      <c r="I45" t="s">
        <v>78</v>
      </c>
      <c r="J45" t="s">
        <v>109</v>
      </c>
      <c r="K45" t="s">
        <v>136</v>
      </c>
      <c r="N45" t="s">
        <v>207</v>
      </c>
      <c r="O45" t="s">
        <v>132</v>
      </c>
      <c r="P45">
        <v>76102</v>
      </c>
      <c r="Q45" t="s">
        <v>208</v>
      </c>
      <c r="R45" t="s">
        <v>209</v>
      </c>
      <c r="T45" s="81">
        <v>0.51458333333333328</v>
      </c>
      <c r="U45" s="1">
        <v>46202</v>
      </c>
      <c r="V45" t="s">
        <v>210</v>
      </c>
      <c r="W45" t="s">
        <v>140</v>
      </c>
      <c r="X45" s="77" t="s">
        <v>134</v>
      </c>
      <c r="Y45" t="s">
        <v>106</v>
      </c>
      <c r="Z45" t="s">
        <v>112</v>
      </c>
      <c r="AA45" s="77" t="s">
        <v>114</v>
      </c>
    </row>
    <row r="46" spans="1:28" x14ac:dyDescent="0.25">
      <c r="A46" t="s">
        <v>485</v>
      </c>
      <c r="B46" s="40">
        <v>3478912057643</v>
      </c>
      <c r="C46" t="s">
        <v>107</v>
      </c>
      <c r="D46" s="78">
        <f t="shared" si="1"/>
        <v>5023.0600000000004</v>
      </c>
      <c r="E46" s="1">
        <v>46072</v>
      </c>
      <c r="F46" s="86">
        <v>575</v>
      </c>
      <c r="G46" s="82">
        <v>0</v>
      </c>
      <c r="H46" t="s">
        <v>108</v>
      </c>
      <c r="I46" t="s">
        <v>78</v>
      </c>
      <c r="J46" t="s">
        <v>109</v>
      </c>
      <c r="K46" t="s">
        <v>110</v>
      </c>
      <c r="T46" s="81">
        <v>0.65625</v>
      </c>
      <c r="U46" s="1">
        <v>45882</v>
      </c>
      <c r="V46" t="s">
        <v>158</v>
      </c>
      <c r="W46" t="s">
        <v>112</v>
      </c>
      <c r="X46" s="77" t="s">
        <v>211</v>
      </c>
      <c r="Y46" t="s">
        <v>106</v>
      </c>
      <c r="Z46" t="s">
        <v>112</v>
      </c>
      <c r="AA46" s="77" t="s">
        <v>114</v>
      </c>
      <c r="AB46" t="s">
        <v>122</v>
      </c>
    </row>
    <row r="47" spans="1:28" x14ac:dyDescent="0.25">
      <c r="A47" t="s">
        <v>485</v>
      </c>
      <c r="B47" s="40">
        <v>3478912057643</v>
      </c>
      <c r="C47" t="s">
        <v>107</v>
      </c>
      <c r="D47" s="78">
        <f t="shared" si="1"/>
        <v>4860.26</v>
      </c>
      <c r="E47" s="1">
        <v>46072</v>
      </c>
      <c r="F47" s="82">
        <v>0</v>
      </c>
      <c r="G47" s="84">
        <v>162.80000000000001</v>
      </c>
      <c r="H47" t="s">
        <v>162</v>
      </c>
      <c r="I47" t="s">
        <v>80</v>
      </c>
      <c r="J47" t="s">
        <v>109</v>
      </c>
      <c r="K47" t="s">
        <v>212</v>
      </c>
      <c r="N47" t="s">
        <v>131</v>
      </c>
      <c r="O47" t="s">
        <v>132</v>
      </c>
      <c r="P47">
        <v>75219</v>
      </c>
      <c r="T47" s="81"/>
      <c r="U47" s="1">
        <v>46069</v>
      </c>
      <c r="V47" t="s">
        <v>106</v>
      </c>
      <c r="W47" t="s">
        <v>112</v>
      </c>
      <c r="X47" s="77" t="s">
        <v>114</v>
      </c>
      <c r="Y47" t="s">
        <v>213</v>
      </c>
      <c r="Z47" t="s">
        <v>112</v>
      </c>
      <c r="AA47" s="77" t="s">
        <v>214</v>
      </c>
    </row>
    <row r="48" spans="1:28" x14ac:dyDescent="0.25">
      <c r="A48" t="s">
        <v>485</v>
      </c>
      <c r="B48" s="40">
        <v>3478912057643</v>
      </c>
      <c r="C48" t="s">
        <v>107</v>
      </c>
      <c r="D48" s="78">
        <f t="shared" si="1"/>
        <v>4823.42</v>
      </c>
      <c r="E48" s="1">
        <v>46073</v>
      </c>
      <c r="F48" s="82">
        <v>0</v>
      </c>
      <c r="G48" s="80">
        <v>36.840000000000003</v>
      </c>
      <c r="H48" t="s">
        <v>128</v>
      </c>
      <c r="I48" t="s">
        <v>80</v>
      </c>
      <c r="J48" t="s">
        <v>109</v>
      </c>
      <c r="K48" t="s">
        <v>215</v>
      </c>
      <c r="L48" t="s">
        <v>130</v>
      </c>
      <c r="N48" t="s">
        <v>131</v>
      </c>
      <c r="O48" t="s">
        <v>132</v>
      </c>
      <c r="P48">
        <v>75219</v>
      </c>
      <c r="S48" t="s">
        <v>216</v>
      </c>
      <c r="T48" s="81">
        <v>0.72916666666666663</v>
      </c>
      <c r="U48" s="1">
        <v>46043</v>
      </c>
      <c r="V48" t="s">
        <v>106</v>
      </c>
      <c r="W48" t="s">
        <v>112</v>
      </c>
      <c r="X48" s="77" t="s">
        <v>114</v>
      </c>
      <c r="Y48" t="s">
        <v>215</v>
      </c>
      <c r="AA48" s="77" t="s">
        <v>134</v>
      </c>
    </row>
    <row r="49" spans="1:28" x14ac:dyDescent="0.25">
      <c r="A49" t="s">
        <v>485</v>
      </c>
      <c r="B49" s="40">
        <v>3478912057643</v>
      </c>
      <c r="C49" t="s">
        <v>107</v>
      </c>
      <c r="D49" s="78">
        <f t="shared" si="1"/>
        <v>5298.42</v>
      </c>
      <c r="E49" s="1">
        <v>46076</v>
      </c>
      <c r="F49" s="86">
        <v>475</v>
      </c>
      <c r="G49" s="82">
        <v>0</v>
      </c>
      <c r="H49" t="s">
        <v>108</v>
      </c>
      <c r="I49" t="s">
        <v>78</v>
      </c>
      <c r="J49" t="s">
        <v>109</v>
      </c>
      <c r="K49" t="s">
        <v>110</v>
      </c>
      <c r="T49" s="81">
        <v>0.65625</v>
      </c>
      <c r="U49" s="1">
        <v>45948</v>
      </c>
      <c r="V49" s="1" t="s">
        <v>217</v>
      </c>
      <c r="W49" t="s">
        <v>112</v>
      </c>
      <c r="X49" s="77" t="s">
        <v>218</v>
      </c>
      <c r="Y49" t="s">
        <v>106</v>
      </c>
      <c r="Z49" t="s">
        <v>112</v>
      </c>
      <c r="AA49" s="77" t="s">
        <v>114</v>
      </c>
      <c r="AB49" t="s">
        <v>122</v>
      </c>
    </row>
    <row r="50" spans="1:28" x14ac:dyDescent="0.25">
      <c r="A50" t="s">
        <v>485</v>
      </c>
      <c r="B50" s="40">
        <v>3478912057643</v>
      </c>
      <c r="C50" t="s">
        <v>107</v>
      </c>
      <c r="D50" s="78">
        <f t="shared" si="1"/>
        <v>1948.42</v>
      </c>
      <c r="E50" s="1">
        <v>46077</v>
      </c>
      <c r="F50" s="82">
        <v>0</v>
      </c>
      <c r="G50" s="86">
        <v>3350</v>
      </c>
      <c r="H50" t="s">
        <v>108</v>
      </c>
      <c r="I50" t="s">
        <v>80</v>
      </c>
      <c r="J50" t="s">
        <v>109</v>
      </c>
      <c r="K50" t="s">
        <v>116</v>
      </c>
      <c r="T50" s="81">
        <v>0.77083333333333337</v>
      </c>
      <c r="U50" s="1">
        <v>45960</v>
      </c>
      <c r="V50" t="s">
        <v>106</v>
      </c>
      <c r="W50" t="s">
        <v>112</v>
      </c>
      <c r="X50" s="77" t="s">
        <v>114</v>
      </c>
      <c r="Y50" t="s">
        <v>117</v>
      </c>
      <c r="Z50" t="s">
        <v>118</v>
      </c>
      <c r="AA50" s="77" t="s">
        <v>155</v>
      </c>
      <c r="AB50" t="s">
        <v>154</v>
      </c>
    </row>
    <row r="51" spans="1:28" x14ac:dyDescent="0.25">
      <c r="A51" t="s">
        <v>485</v>
      </c>
      <c r="B51" s="40">
        <v>3478912057643</v>
      </c>
      <c r="C51" t="s">
        <v>107</v>
      </c>
      <c r="D51" s="78">
        <f t="shared" si="1"/>
        <v>747.01</v>
      </c>
      <c r="E51" s="1">
        <v>46077</v>
      </c>
      <c r="F51" s="82">
        <v>0</v>
      </c>
      <c r="G51" s="86">
        <v>1201.4100000000001</v>
      </c>
      <c r="H51" t="s">
        <v>79</v>
      </c>
      <c r="I51" t="s">
        <v>80</v>
      </c>
      <c r="J51" t="s">
        <v>109</v>
      </c>
      <c r="K51" t="s">
        <v>116</v>
      </c>
      <c r="T51" s="81">
        <v>0.67499999999999993</v>
      </c>
      <c r="U51" s="1">
        <v>46077</v>
      </c>
      <c r="V51" t="s">
        <v>106</v>
      </c>
      <c r="W51" t="s">
        <v>112</v>
      </c>
      <c r="X51" s="77" t="s">
        <v>114</v>
      </c>
      <c r="Y51" t="s">
        <v>219</v>
      </c>
      <c r="Z51" t="s">
        <v>160</v>
      </c>
      <c r="AA51" s="77" t="s">
        <v>220</v>
      </c>
    </row>
    <row r="52" spans="1:28" x14ac:dyDescent="0.25">
      <c r="A52" t="s">
        <v>485</v>
      </c>
      <c r="B52" s="40">
        <v>3478912057643</v>
      </c>
      <c r="C52" t="s">
        <v>107</v>
      </c>
      <c r="D52" s="78">
        <f t="shared" si="1"/>
        <v>1472.01</v>
      </c>
      <c r="E52" s="1">
        <v>46079</v>
      </c>
      <c r="F52" s="86">
        <v>725</v>
      </c>
      <c r="G52" s="82">
        <v>0</v>
      </c>
      <c r="H52" t="s">
        <v>108</v>
      </c>
      <c r="I52" t="s">
        <v>78</v>
      </c>
      <c r="J52" t="s">
        <v>109</v>
      </c>
      <c r="K52" t="s">
        <v>110</v>
      </c>
      <c r="T52" s="81">
        <v>0.38541666666666669</v>
      </c>
      <c r="U52" s="1">
        <v>46018</v>
      </c>
      <c r="V52" s="1" t="s">
        <v>221</v>
      </c>
      <c r="W52" t="s">
        <v>183</v>
      </c>
      <c r="X52" s="77" t="s">
        <v>222</v>
      </c>
      <c r="Y52" t="s">
        <v>106</v>
      </c>
      <c r="Z52" t="s">
        <v>112</v>
      </c>
      <c r="AA52" s="77" t="s">
        <v>114</v>
      </c>
      <c r="AB52" t="s">
        <v>154</v>
      </c>
    </row>
    <row r="53" spans="1:28" x14ac:dyDescent="0.25">
      <c r="A53" t="s">
        <v>485</v>
      </c>
      <c r="B53" s="40">
        <v>3478912057643</v>
      </c>
      <c r="C53" t="s">
        <v>107</v>
      </c>
      <c r="D53" s="78">
        <f t="shared" si="1"/>
        <v>1343.07</v>
      </c>
      <c r="E53" s="1">
        <v>46079</v>
      </c>
      <c r="F53" s="82">
        <v>0</v>
      </c>
      <c r="G53" s="80">
        <v>128.94</v>
      </c>
      <c r="H53" t="s">
        <v>128</v>
      </c>
      <c r="I53" t="s">
        <v>80</v>
      </c>
      <c r="J53" t="s">
        <v>109</v>
      </c>
      <c r="K53" t="s">
        <v>223</v>
      </c>
      <c r="L53" t="s">
        <v>130</v>
      </c>
      <c r="N53" t="s">
        <v>131</v>
      </c>
      <c r="O53" t="s">
        <v>132</v>
      </c>
      <c r="P53">
        <v>75219</v>
      </c>
      <c r="S53" t="s">
        <v>224</v>
      </c>
      <c r="T53" s="81">
        <v>0.7583333333333333</v>
      </c>
      <c r="U53" s="1">
        <v>46065</v>
      </c>
      <c r="V53" t="s">
        <v>106</v>
      </c>
      <c r="W53" t="s">
        <v>112</v>
      </c>
      <c r="X53" s="77" t="s">
        <v>114</v>
      </c>
      <c r="Y53" t="s">
        <v>223</v>
      </c>
      <c r="AA53" s="77" t="s">
        <v>134</v>
      </c>
    </row>
    <row r="54" spans="1:28" x14ac:dyDescent="0.25">
      <c r="A54" t="s">
        <v>485</v>
      </c>
      <c r="B54" s="40">
        <v>3478912057643</v>
      </c>
      <c r="C54" t="s">
        <v>107</v>
      </c>
      <c r="D54" s="78">
        <f t="shared" si="1"/>
        <v>144.86999999999989</v>
      </c>
      <c r="E54" s="1">
        <v>46079</v>
      </c>
      <c r="F54" s="82">
        <v>0</v>
      </c>
      <c r="G54" s="86">
        <v>1198.2</v>
      </c>
      <c r="H54" t="s">
        <v>79</v>
      </c>
      <c r="I54" t="s">
        <v>80</v>
      </c>
      <c r="J54" t="s">
        <v>109</v>
      </c>
      <c r="K54" t="s">
        <v>116</v>
      </c>
      <c r="T54" s="81">
        <v>0.5083333333333333</v>
      </c>
      <c r="U54" s="1">
        <v>46079</v>
      </c>
      <c r="V54" t="s">
        <v>106</v>
      </c>
      <c r="W54" t="s">
        <v>112</v>
      </c>
      <c r="X54" s="77" t="s">
        <v>114</v>
      </c>
      <c r="Y54" t="s">
        <v>219</v>
      </c>
      <c r="Z54" t="s">
        <v>160</v>
      </c>
      <c r="AA54" s="77" t="s">
        <v>220</v>
      </c>
    </row>
    <row r="55" spans="1:28" x14ac:dyDescent="0.25">
      <c r="A55" t="s">
        <v>485</v>
      </c>
      <c r="B55" s="40">
        <v>3478912057643</v>
      </c>
      <c r="C55" t="s">
        <v>107</v>
      </c>
      <c r="D55" s="78">
        <f t="shared" si="1"/>
        <v>1094.8699999999999</v>
      </c>
      <c r="E55" s="1">
        <v>46080</v>
      </c>
      <c r="F55" s="86">
        <v>950</v>
      </c>
      <c r="G55" s="82">
        <v>0</v>
      </c>
      <c r="H55" t="s">
        <v>108</v>
      </c>
      <c r="I55" t="s">
        <v>78</v>
      </c>
      <c r="J55" t="s">
        <v>109</v>
      </c>
      <c r="K55" t="s">
        <v>110</v>
      </c>
      <c r="T55" s="81">
        <v>0.38541666666666669</v>
      </c>
      <c r="U55" s="1">
        <v>45958</v>
      </c>
      <c r="V55" t="s">
        <v>225</v>
      </c>
      <c r="W55" t="s">
        <v>160</v>
      </c>
      <c r="X55" s="77" t="s">
        <v>226</v>
      </c>
      <c r="Y55" t="s">
        <v>106</v>
      </c>
      <c r="Z55" t="s">
        <v>112</v>
      </c>
      <c r="AA55" s="77" t="s">
        <v>114</v>
      </c>
      <c r="AB55" t="s">
        <v>154</v>
      </c>
    </row>
    <row r="56" spans="1:28" x14ac:dyDescent="0.25">
      <c r="A56" t="s">
        <v>485</v>
      </c>
      <c r="B56" s="40">
        <v>3478912057643</v>
      </c>
      <c r="C56" t="s">
        <v>107</v>
      </c>
      <c r="D56" s="78">
        <f t="shared" si="1"/>
        <v>4544.87</v>
      </c>
      <c r="E56" s="1">
        <v>46080</v>
      </c>
      <c r="F56" s="83">
        <v>3450</v>
      </c>
      <c r="G56" s="82">
        <v>0</v>
      </c>
      <c r="H56" t="s">
        <v>135</v>
      </c>
      <c r="I56" t="s">
        <v>78</v>
      </c>
      <c r="J56" t="s">
        <v>109</v>
      </c>
      <c r="K56" t="s">
        <v>136</v>
      </c>
      <c r="N56" t="s">
        <v>227</v>
      </c>
      <c r="O56" t="s">
        <v>132</v>
      </c>
      <c r="P56">
        <v>75080</v>
      </c>
      <c r="Q56" t="s">
        <v>228</v>
      </c>
      <c r="R56" t="s">
        <v>229</v>
      </c>
      <c r="T56" s="81">
        <v>0.67499999999999993</v>
      </c>
      <c r="U56" s="1">
        <v>46202</v>
      </c>
      <c r="V56" t="s">
        <v>230</v>
      </c>
      <c r="W56" t="s">
        <v>140</v>
      </c>
      <c r="X56" s="77" t="s">
        <v>134</v>
      </c>
      <c r="Y56" t="s">
        <v>106</v>
      </c>
      <c r="Z56" t="s">
        <v>112</v>
      </c>
      <c r="AA56" s="77" t="s">
        <v>114</v>
      </c>
    </row>
    <row r="57" spans="1:28" x14ac:dyDescent="0.25">
      <c r="A57" t="s">
        <v>485</v>
      </c>
      <c r="B57" s="40">
        <v>3478912057643</v>
      </c>
      <c r="C57" t="s">
        <v>107</v>
      </c>
      <c r="D57" s="78">
        <f t="shared" si="1"/>
        <v>6994.87</v>
      </c>
      <c r="E57" s="1">
        <v>46083</v>
      </c>
      <c r="F57" s="84">
        <v>2450</v>
      </c>
      <c r="G57" s="82">
        <v>0</v>
      </c>
      <c r="H57" t="s">
        <v>162</v>
      </c>
      <c r="I57" t="s">
        <v>78</v>
      </c>
      <c r="J57" t="s">
        <v>109</v>
      </c>
      <c r="K57" t="s">
        <v>181</v>
      </c>
      <c r="T57" s="81"/>
      <c r="U57" s="1">
        <v>46062</v>
      </c>
      <c r="V57" t="s">
        <v>56</v>
      </c>
      <c r="W57" t="s">
        <v>112</v>
      </c>
      <c r="X57" s="77" t="s">
        <v>231</v>
      </c>
      <c r="Y57" t="s">
        <v>106</v>
      </c>
      <c r="Z57" t="s">
        <v>112</v>
      </c>
      <c r="AA57" s="77" t="s">
        <v>114</v>
      </c>
    </row>
    <row r="58" spans="1:28" x14ac:dyDescent="0.25">
      <c r="A58" t="s">
        <v>485</v>
      </c>
      <c r="B58" s="40">
        <v>3478912057643</v>
      </c>
      <c r="C58" t="s">
        <v>107</v>
      </c>
      <c r="D58" s="78">
        <f t="shared" si="1"/>
        <v>7669.87</v>
      </c>
      <c r="E58" s="1">
        <v>46085</v>
      </c>
      <c r="F58" s="86">
        <v>675</v>
      </c>
      <c r="G58" s="82">
        <v>0</v>
      </c>
      <c r="H58" t="s">
        <v>108</v>
      </c>
      <c r="I58" t="s">
        <v>78</v>
      </c>
      <c r="J58" t="s">
        <v>109</v>
      </c>
      <c r="K58" t="s">
        <v>110</v>
      </c>
      <c r="T58" s="81">
        <v>0.38541666666666669</v>
      </c>
      <c r="U58" s="1">
        <v>45991</v>
      </c>
      <c r="V58" t="s">
        <v>151</v>
      </c>
      <c r="W58" t="s">
        <v>118</v>
      </c>
      <c r="X58" s="77" t="s">
        <v>232</v>
      </c>
      <c r="Y58" t="s">
        <v>106</v>
      </c>
      <c r="Z58" t="s">
        <v>112</v>
      </c>
      <c r="AA58" s="77" t="s">
        <v>114</v>
      </c>
      <c r="AB58" t="s">
        <v>154</v>
      </c>
    </row>
    <row r="59" spans="1:28" x14ac:dyDescent="0.25">
      <c r="A59" t="s">
        <v>485</v>
      </c>
      <c r="B59" s="40">
        <v>3478912057643</v>
      </c>
      <c r="C59" t="s">
        <v>107</v>
      </c>
      <c r="D59" s="78">
        <f t="shared" si="1"/>
        <v>7634.87</v>
      </c>
      <c r="E59" s="1">
        <v>46085</v>
      </c>
      <c r="F59" s="82">
        <v>0</v>
      </c>
      <c r="G59" s="83">
        <v>35</v>
      </c>
      <c r="H59" t="s">
        <v>187</v>
      </c>
      <c r="I59" t="s">
        <v>80</v>
      </c>
      <c r="J59" t="s">
        <v>109</v>
      </c>
      <c r="K59" t="s">
        <v>188</v>
      </c>
      <c r="L59" t="s">
        <v>130</v>
      </c>
      <c r="N59" t="s">
        <v>131</v>
      </c>
      <c r="O59" t="s">
        <v>132</v>
      </c>
      <c r="P59">
        <v>75219</v>
      </c>
      <c r="S59" t="s">
        <v>233</v>
      </c>
      <c r="T59" s="81">
        <v>0.6875</v>
      </c>
      <c r="U59" s="1">
        <v>46050</v>
      </c>
      <c r="V59" t="s">
        <v>106</v>
      </c>
      <c r="W59" t="s">
        <v>112</v>
      </c>
      <c r="X59" s="77" t="s">
        <v>114</v>
      </c>
      <c r="Y59" t="s">
        <v>190</v>
      </c>
      <c r="Z59" t="s">
        <v>112</v>
      </c>
      <c r="AA59" s="77" t="s">
        <v>134</v>
      </c>
    </row>
    <row r="60" spans="1:28" x14ac:dyDescent="0.25">
      <c r="A60" t="s">
        <v>485</v>
      </c>
      <c r="B60" s="40">
        <v>3478912057643</v>
      </c>
      <c r="C60" t="s">
        <v>107</v>
      </c>
      <c r="D60" s="78">
        <f t="shared" si="1"/>
        <v>8409.869999999999</v>
      </c>
      <c r="E60" s="1">
        <v>46086</v>
      </c>
      <c r="F60" s="86">
        <v>775</v>
      </c>
      <c r="G60" s="82">
        <v>0</v>
      </c>
      <c r="H60" t="s">
        <v>108</v>
      </c>
      <c r="I60" t="s">
        <v>78</v>
      </c>
      <c r="J60" t="s">
        <v>109</v>
      </c>
      <c r="K60" t="s">
        <v>110</v>
      </c>
      <c r="T60" s="81">
        <v>0.38541666666666669</v>
      </c>
      <c r="U60" s="1">
        <v>46002</v>
      </c>
      <c r="V60" s="1" t="s">
        <v>225</v>
      </c>
      <c r="W60" t="s">
        <v>126</v>
      </c>
      <c r="X60" s="77" t="s">
        <v>234</v>
      </c>
      <c r="Y60" t="s">
        <v>106</v>
      </c>
      <c r="Z60" t="s">
        <v>112</v>
      </c>
      <c r="AA60" s="77" t="s">
        <v>114</v>
      </c>
      <c r="AB60" t="s">
        <v>154</v>
      </c>
    </row>
    <row r="61" spans="1:28" x14ac:dyDescent="0.25">
      <c r="A61" t="s">
        <v>485</v>
      </c>
      <c r="B61" s="40">
        <v>3478912057643</v>
      </c>
      <c r="C61" t="s">
        <v>107</v>
      </c>
      <c r="D61" s="78">
        <f t="shared" si="1"/>
        <v>8984.869999999999</v>
      </c>
      <c r="E61" s="1">
        <v>46087</v>
      </c>
      <c r="F61" s="86">
        <v>575</v>
      </c>
      <c r="G61" s="82">
        <v>0</v>
      </c>
      <c r="H61" t="s">
        <v>108</v>
      </c>
      <c r="I61" t="s">
        <v>78</v>
      </c>
      <c r="J61" t="s">
        <v>109</v>
      </c>
      <c r="K61" t="s">
        <v>110</v>
      </c>
      <c r="T61" s="81">
        <v>0.38541666666666669</v>
      </c>
      <c r="U61" s="1">
        <v>45914</v>
      </c>
      <c r="V61" s="1" t="s">
        <v>225</v>
      </c>
      <c r="W61" t="s">
        <v>112</v>
      </c>
      <c r="X61" s="77" t="s">
        <v>235</v>
      </c>
      <c r="Y61" t="s">
        <v>106</v>
      </c>
      <c r="Z61" t="s">
        <v>112</v>
      </c>
      <c r="AA61" s="77" t="s">
        <v>114</v>
      </c>
      <c r="AB61" t="s">
        <v>154</v>
      </c>
    </row>
    <row r="62" spans="1:28" x14ac:dyDescent="0.25">
      <c r="A62" t="s">
        <v>485</v>
      </c>
      <c r="B62" s="40">
        <v>3478912057643</v>
      </c>
      <c r="C62" t="s">
        <v>107</v>
      </c>
      <c r="D62" s="78">
        <f t="shared" si="1"/>
        <v>8923.6699999999983</v>
      </c>
      <c r="E62" s="1">
        <v>46090</v>
      </c>
      <c r="F62" s="82">
        <v>0</v>
      </c>
      <c r="G62" s="80">
        <v>61.2</v>
      </c>
      <c r="H62" t="s">
        <v>128</v>
      </c>
      <c r="I62" t="s">
        <v>80</v>
      </c>
      <c r="J62" t="s">
        <v>109</v>
      </c>
      <c r="K62" t="s">
        <v>192</v>
      </c>
      <c r="L62" t="s">
        <v>130</v>
      </c>
      <c r="N62" t="s">
        <v>131</v>
      </c>
      <c r="O62" t="s">
        <v>132</v>
      </c>
      <c r="P62">
        <v>75219</v>
      </c>
      <c r="S62" t="s">
        <v>236</v>
      </c>
      <c r="T62" s="81">
        <v>0.80833333333333324</v>
      </c>
      <c r="U62" s="1">
        <v>46074</v>
      </c>
      <c r="V62" t="s">
        <v>106</v>
      </c>
      <c r="W62" t="s">
        <v>112</v>
      </c>
      <c r="X62" s="77" t="s">
        <v>114</v>
      </c>
      <c r="Y62" t="s">
        <v>192</v>
      </c>
      <c r="AA62" s="77" t="s">
        <v>134</v>
      </c>
    </row>
    <row r="63" spans="1:28" x14ac:dyDescent="0.25">
      <c r="A63" t="s">
        <v>485</v>
      </c>
      <c r="B63" s="40">
        <v>3478912057643</v>
      </c>
      <c r="C63" t="s">
        <v>107</v>
      </c>
      <c r="D63" s="78">
        <f t="shared" si="1"/>
        <v>12823.669999999998</v>
      </c>
      <c r="E63" s="1">
        <v>46090</v>
      </c>
      <c r="F63" s="83">
        <v>3900</v>
      </c>
      <c r="G63" s="82">
        <v>0</v>
      </c>
      <c r="H63" t="s">
        <v>135</v>
      </c>
      <c r="I63" t="s">
        <v>78</v>
      </c>
      <c r="J63" t="s">
        <v>109</v>
      </c>
      <c r="K63" t="s">
        <v>136</v>
      </c>
      <c r="N63" t="s">
        <v>237</v>
      </c>
      <c r="O63" t="s">
        <v>132</v>
      </c>
      <c r="P63">
        <v>75040</v>
      </c>
      <c r="Q63" t="s">
        <v>238</v>
      </c>
      <c r="R63" t="s">
        <v>239</v>
      </c>
      <c r="T63" s="81">
        <v>0.62708333333333333</v>
      </c>
      <c r="U63" s="1">
        <v>46202</v>
      </c>
      <c r="V63" t="s">
        <v>240</v>
      </c>
      <c r="W63" t="s">
        <v>140</v>
      </c>
      <c r="X63" s="77" t="s">
        <v>134</v>
      </c>
      <c r="Y63" t="s">
        <v>106</v>
      </c>
      <c r="Z63" t="s">
        <v>112</v>
      </c>
      <c r="AA63" s="77" t="s">
        <v>114</v>
      </c>
    </row>
    <row r="64" spans="1:28" x14ac:dyDescent="0.25">
      <c r="A64" t="s">
        <v>485</v>
      </c>
      <c r="B64" s="40">
        <v>3478912057643</v>
      </c>
      <c r="C64" t="s">
        <v>107</v>
      </c>
      <c r="D64" s="78">
        <f t="shared" si="1"/>
        <v>11150.519999999999</v>
      </c>
      <c r="E64" s="1">
        <v>46091</v>
      </c>
      <c r="F64" s="82">
        <v>0</v>
      </c>
      <c r="G64" s="86">
        <v>1673.15</v>
      </c>
      <c r="H64" t="s">
        <v>79</v>
      </c>
      <c r="I64" t="s">
        <v>80</v>
      </c>
      <c r="J64" t="s">
        <v>109</v>
      </c>
      <c r="K64" t="s">
        <v>116</v>
      </c>
      <c r="T64" s="81">
        <v>0.40833333333333338</v>
      </c>
      <c r="U64" s="1">
        <v>46091</v>
      </c>
      <c r="V64" t="s">
        <v>106</v>
      </c>
      <c r="W64" t="s">
        <v>112</v>
      </c>
      <c r="X64" s="77" t="s">
        <v>114</v>
      </c>
      <c r="Y64" t="s">
        <v>168</v>
      </c>
      <c r="Z64" t="s">
        <v>112</v>
      </c>
      <c r="AA64" s="77" t="s">
        <v>169</v>
      </c>
      <c r="AB64" t="s">
        <v>154</v>
      </c>
    </row>
    <row r="65" spans="1:28" x14ac:dyDescent="0.25">
      <c r="A65" t="s">
        <v>485</v>
      </c>
      <c r="B65" s="40">
        <v>3478912057643</v>
      </c>
      <c r="C65" t="s">
        <v>107</v>
      </c>
      <c r="D65" s="78">
        <f t="shared" si="1"/>
        <v>11031.919999999998</v>
      </c>
      <c r="E65" s="1">
        <v>46092</v>
      </c>
      <c r="F65" s="82">
        <v>0</v>
      </c>
      <c r="G65" s="80">
        <v>118.6</v>
      </c>
      <c r="H65" t="s">
        <v>128</v>
      </c>
      <c r="I65" t="s">
        <v>80</v>
      </c>
      <c r="J65" t="s">
        <v>109</v>
      </c>
      <c r="K65" t="s">
        <v>241</v>
      </c>
      <c r="L65" t="s">
        <v>130</v>
      </c>
      <c r="N65" t="s">
        <v>131</v>
      </c>
      <c r="O65" t="s">
        <v>132</v>
      </c>
      <c r="T65" s="81">
        <v>0.75</v>
      </c>
      <c r="U65" s="1">
        <v>46036</v>
      </c>
      <c r="V65" t="s">
        <v>106</v>
      </c>
      <c r="W65" t="s">
        <v>112</v>
      </c>
      <c r="X65" s="77" t="s">
        <v>114</v>
      </c>
      <c r="Y65" t="s">
        <v>241</v>
      </c>
      <c r="AA65" s="77" t="s">
        <v>134</v>
      </c>
    </row>
    <row r="66" spans="1:28" x14ac:dyDescent="0.25">
      <c r="A66" t="s">
        <v>485</v>
      </c>
      <c r="B66" s="40">
        <v>3478912057643</v>
      </c>
      <c r="C66" t="s">
        <v>107</v>
      </c>
      <c r="D66" s="78">
        <f t="shared" si="1"/>
        <v>10935.519999999999</v>
      </c>
      <c r="E66" s="1">
        <v>46092</v>
      </c>
      <c r="F66" s="82">
        <v>0</v>
      </c>
      <c r="G66" s="80">
        <v>96.4</v>
      </c>
      <c r="H66" t="s">
        <v>128</v>
      </c>
      <c r="I66" t="s">
        <v>80</v>
      </c>
      <c r="J66" t="s">
        <v>109</v>
      </c>
      <c r="K66" t="s">
        <v>242</v>
      </c>
      <c r="L66" t="s">
        <v>130</v>
      </c>
      <c r="N66" t="s">
        <v>131</v>
      </c>
      <c r="O66" t="s">
        <v>132</v>
      </c>
      <c r="P66">
        <v>75219</v>
      </c>
      <c r="S66" t="s">
        <v>243</v>
      </c>
      <c r="T66" s="81">
        <v>0.75</v>
      </c>
      <c r="U66" s="1">
        <v>46049</v>
      </c>
      <c r="V66" t="s">
        <v>106</v>
      </c>
      <c r="W66" t="s">
        <v>112</v>
      </c>
      <c r="X66" s="77" t="s">
        <v>114</v>
      </c>
      <c r="Y66" t="s">
        <v>242</v>
      </c>
      <c r="AA66" s="77" t="s">
        <v>134</v>
      </c>
    </row>
    <row r="67" spans="1:28" x14ac:dyDescent="0.25">
      <c r="A67" t="s">
        <v>485</v>
      </c>
      <c r="B67" s="40">
        <v>3478912057643</v>
      </c>
      <c r="C67" t="s">
        <v>107</v>
      </c>
      <c r="D67" s="78">
        <f t="shared" ref="D67:D98" si="2">D66+F67-G67</f>
        <v>11560.519999999999</v>
      </c>
      <c r="E67" s="1">
        <v>46093</v>
      </c>
      <c r="F67" s="86">
        <v>625</v>
      </c>
      <c r="G67" s="82">
        <v>0</v>
      </c>
      <c r="H67" t="s">
        <v>108</v>
      </c>
      <c r="I67" t="s">
        <v>78</v>
      </c>
      <c r="J67" t="s">
        <v>109</v>
      </c>
      <c r="K67" t="s">
        <v>110</v>
      </c>
      <c r="T67" s="81">
        <v>0.54166666666666663</v>
      </c>
      <c r="U67" s="1">
        <v>45970</v>
      </c>
      <c r="V67" s="1" t="s">
        <v>185</v>
      </c>
      <c r="W67" t="s">
        <v>183</v>
      </c>
      <c r="X67" s="77" t="s">
        <v>244</v>
      </c>
      <c r="Y67" t="s">
        <v>106</v>
      </c>
      <c r="Z67" t="s">
        <v>112</v>
      </c>
      <c r="AA67" s="77" t="s">
        <v>114</v>
      </c>
      <c r="AB67" t="s">
        <v>115</v>
      </c>
    </row>
    <row r="68" spans="1:28" x14ac:dyDescent="0.25">
      <c r="A68" t="s">
        <v>485</v>
      </c>
      <c r="B68" s="40">
        <v>3478912057643</v>
      </c>
      <c r="C68" t="s">
        <v>107</v>
      </c>
      <c r="D68" s="78">
        <f t="shared" si="2"/>
        <v>12135.519999999999</v>
      </c>
      <c r="E68" s="1">
        <v>46093</v>
      </c>
      <c r="F68" s="86">
        <v>575</v>
      </c>
      <c r="G68" s="82">
        <v>0</v>
      </c>
      <c r="H68" t="s">
        <v>108</v>
      </c>
      <c r="I68" t="s">
        <v>78</v>
      </c>
      <c r="J68" t="s">
        <v>109</v>
      </c>
      <c r="K68" t="s">
        <v>110</v>
      </c>
      <c r="T68" s="81">
        <v>0.71875</v>
      </c>
      <c r="U68" s="1">
        <v>45982</v>
      </c>
      <c r="V68" t="s">
        <v>245</v>
      </c>
      <c r="W68" t="s">
        <v>126</v>
      </c>
      <c r="X68" s="77" t="s">
        <v>246</v>
      </c>
      <c r="Y68" t="s">
        <v>106</v>
      </c>
      <c r="Z68" t="s">
        <v>112</v>
      </c>
      <c r="AA68" s="77" t="s">
        <v>114</v>
      </c>
    </row>
    <row r="69" spans="1:28" x14ac:dyDescent="0.25">
      <c r="A69" t="s">
        <v>485</v>
      </c>
      <c r="B69" s="40">
        <v>3478912057643</v>
      </c>
      <c r="C69" t="s">
        <v>107</v>
      </c>
      <c r="D69" s="78">
        <f t="shared" si="2"/>
        <v>12061.019999999999</v>
      </c>
      <c r="E69" s="1">
        <v>46094</v>
      </c>
      <c r="F69" s="82">
        <v>0</v>
      </c>
      <c r="G69" s="84">
        <v>74.5</v>
      </c>
      <c r="H69" t="s">
        <v>162</v>
      </c>
      <c r="I69" t="s">
        <v>80</v>
      </c>
      <c r="J69" t="s">
        <v>109</v>
      </c>
      <c r="K69" t="s">
        <v>247</v>
      </c>
      <c r="N69" t="s">
        <v>131</v>
      </c>
      <c r="O69" t="s">
        <v>132</v>
      </c>
      <c r="P69">
        <v>75219</v>
      </c>
      <c r="T69" s="81"/>
      <c r="U69" s="1">
        <v>46085</v>
      </c>
      <c r="V69" t="s">
        <v>106</v>
      </c>
      <c r="W69" t="s">
        <v>112</v>
      </c>
      <c r="X69" s="77" t="s">
        <v>114</v>
      </c>
      <c r="Y69" t="s">
        <v>248</v>
      </c>
      <c r="Z69" t="s">
        <v>152</v>
      </c>
      <c r="AA69" s="77" t="s">
        <v>249</v>
      </c>
    </row>
    <row r="70" spans="1:28" x14ac:dyDescent="0.25">
      <c r="A70" t="s">
        <v>485</v>
      </c>
      <c r="B70" s="40">
        <v>3478912057643</v>
      </c>
      <c r="C70" t="s">
        <v>107</v>
      </c>
      <c r="D70" s="78">
        <f t="shared" si="2"/>
        <v>12006.119999999999</v>
      </c>
      <c r="E70" s="1">
        <v>46097</v>
      </c>
      <c r="F70" s="82">
        <v>0</v>
      </c>
      <c r="G70" s="80">
        <v>54.9</v>
      </c>
      <c r="H70" t="s">
        <v>128</v>
      </c>
      <c r="I70" t="s">
        <v>80</v>
      </c>
      <c r="J70" t="s">
        <v>109</v>
      </c>
      <c r="K70" t="s">
        <v>129</v>
      </c>
      <c r="L70" t="s">
        <v>130</v>
      </c>
      <c r="N70" t="s">
        <v>131</v>
      </c>
      <c r="O70" t="s">
        <v>132</v>
      </c>
      <c r="P70">
        <v>75219</v>
      </c>
      <c r="S70" t="s">
        <v>250</v>
      </c>
      <c r="T70" s="81">
        <v>0.79999999999999993</v>
      </c>
      <c r="U70" s="1">
        <v>46081</v>
      </c>
      <c r="V70" t="s">
        <v>106</v>
      </c>
      <c r="W70" t="s">
        <v>112</v>
      </c>
      <c r="X70" s="77" t="s">
        <v>114</v>
      </c>
      <c r="Y70" t="s">
        <v>129</v>
      </c>
      <c r="AA70" s="77" t="s">
        <v>134</v>
      </c>
    </row>
    <row r="71" spans="1:28" x14ac:dyDescent="0.25">
      <c r="A71" t="s">
        <v>485</v>
      </c>
      <c r="B71" s="40">
        <v>3478912057643</v>
      </c>
      <c r="C71" t="s">
        <v>107</v>
      </c>
      <c r="D71" s="78">
        <f t="shared" si="2"/>
        <v>10316.279999999999</v>
      </c>
      <c r="E71" s="1">
        <v>46097</v>
      </c>
      <c r="F71" s="82">
        <v>0</v>
      </c>
      <c r="G71" s="86">
        <v>1689.84</v>
      </c>
      <c r="H71" t="s">
        <v>79</v>
      </c>
      <c r="I71" t="s">
        <v>80</v>
      </c>
      <c r="J71" t="s">
        <v>109</v>
      </c>
      <c r="K71" t="s">
        <v>116</v>
      </c>
      <c r="T71" s="81">
        <v>0.5083333333333333</v>
      </c>
      <c r="U71" s="1">
        <v>46097</v>
      </c>
      <c r="V71" t="s">
        <v>106</v>
      </c>
      <c r="W71" t="s">
        <v>112</v>
      </c>
      <c r="X71" s="77" t="s">
        <v>114</v>
      </c>
      <c r="Y71" t="s">
        <v>219</v>
      </c>
      <c r="Z71" t="s">
        <v>160</v>
      </c>
      <c r="AA71" s="77" t="s">
        <v>220</v>
      </c>
    </row>
    <row r="72" spans="1:28" x14ac:dyDescent="0.25">
      <c r="A72" t="s">
        <v>485</v>
      </c>
      <c r="B72" s="40">
        <v>3478912057643</v>
      </c>
      <c r="C72" t="s">
        <v>107</v>
      </c>
      <c r="D72" s="78">
        <f t="shared" si="2"/>
        <v>6966.2799999999988</v>
      </c>
      <c r="E72" s="1">
        <v>46098</v>
      </c>
      <c r="F72" s="82">
        <v>0</v>
      </c>
      <c r="G72" s="86">
        <v>3350</v>
      </c>
      <c r="H72" t="s">
        <v>108</v>
      </c>
      <c r="I72" t="s">
        <v>80</v>
      </c>
      <c r="J72" t="s">
        <v>109</v>
      </c>
      <c r="K72" t="s">
        <v>116</v>
      </c>
      <c r="T72" s="81">
        <v>0.77083333333333337</v>
      </c>
      <c r="U72" s="1">
        <v>45894</v>
      </c>
      <c r="V72" t="s">
        <v>106</v>
      </c>
      <c r="W72" t="s">
        <v>112</v>
      </c>
      <c r="X72" s="77" t="s">
        <v>114</v>
      </c>
      <c r="Y72" t="s">
        <v>117</v>
      </c>
      <c r="Z72" t="s">
        <v>118</v>
      </c>
      <c r="AA72" s="77" t="s">
        <v>155</v>
      </c>
      <c r="AB72" t="s">
        <v>154</v>
      </c>
    </row>
    <row r="73" spans="1:28" x14ac:dyDescent="0.25">
      <c r="A73" t="s">
        <v>485</v>
      </c>
      <c r="B73" s="40">
        <v>3478912057643</v>
      </c>
      <c r="C73" t="s">
        <v>107</v>
      </c>
      <c r="D73" s="78">
        <f t="shared" si="2"/>
        <v>6893.4299999999985</v>
      </c>
      <c r="E73" s="1">
        <v>46098</v>
      </c>
      <c r="F73" s="82">
        <v>0</v>
      </c>
      <c r="G73" s="80">
        <v>72.849999999999994</v>
      </c>
      <c r="H73" t="s">
        <v>128</v>
      </c>
      <c r="I73" t="s">
        <v>80</v>
      </c>
      <c r="J73" t="s">
        <v>109</v>
      </c>
      <c r="K73" t="s">
        <v>192</v>
      </c>
      <c r="L73" t="s">
        <v>130</v>
      </c>
      <c r="N73" t="s">
        <v>131</v>
      </c>
      <c r="O73" t="s">
        <v>132</v>
      </c>
      <c r="P73">
        <v>75219</v>
      </c>
      <c r="S73" t="s">
        <v>251</v>
      </c>
      <c r="T73" s="81">
        <v>0.8041666666666667</v>
      </c>
      <c r="U73" s="1">
        <v>46060</v>
      </c>
      <c r="V73" t="s">
        <v>106</v>
      </c>
      <c r="W73" t="s">
        <v>112</v>
      </c>
      <c r="X73" s="77" t="s">
        <v>114</v>
      </c>
      <c r="Y73" t="s">
        <v>192</v>
      </c>
      <c r="AA73" s="77" t="s">
        <v>134</v>
      </c>
    </row>
    <row r="74" spans="1:28" x14ac:dyDescent="0.25">
      <c r="A74" t="s">
        <v>485</v>
      </c>
      <c r="B74" s="40">
        <v>3478912057643</v>
      </c>
      <c r="C74" t="s">
        <v>107</v>
      </c>
      <c r="D74" s="78">
        <f t="shared" si="2"/>
        <v>7518.4299999999985</v>
      </c>
      <c r="E74" s="1">
        <v>46099</v>
      </c>
      <c r="F74" s="86">
        <v>625</v>
      </c>
      <c r="G74" s="82">
        <v>0</v>
      </c>
      <c r="H74" t="s">
        <v>108</v>
      </c>
      <c r="I74" t="s">
        <v>78</v>
      </c>
      <c r="J74" t="s">
        <v>109</v>
      </c>
      <c r="K74" t="s">
        <v>110</v>
      </c>
      <c r="T74" s="81">
        <v>0.71875</v>
      </c>
      <c r="U74" s="1">
        <v>46004</v>
      </c>
      <c r="V74" s="1" t="s">
        <v>176</v>
      </c>
      <c r="W74" t="s">
        <v>160</v>
      </c>
      <c r="X74" s="77" t="s">
        <v>252</v>
      </c>
      <c r="Y74" t="s">
        <v>106</v>
      </c>
      <c r="Z74" t="s">
        <v>112</v>
      </c>
      <c r="AA74" s="77" t="s">
        <v>114</v>
      </c>
    </row>
    <row r="75" spans="1:28" x14ac:dyDescent="0.25">
      <c r="A75" t="s">
        <v>485</v>
      </c>
      <c r="B75" s="40">
        <v>3478912057643</v>
      </c>
      <c r="C75" t="s">
        <v>107</v>
      </c>
      <c r="D75" s="78">
        <f t="shared" si="2"/>
        <v>4243.4299999999985</v>
      </c>
      <c r="E75" s="1">
        <v>46100</v>
      </c>
      <c r="F75" s="82">
        <v>0</v>
      </c>
      <c r="G75" s="86">
        <v>3275</v>
      </c>
      <c r="H75" t="s">
        <v>108</v>
      </c>
      <c r="I75" t="s">
        <v>80</v>
      </c>
      <c r="J75" t="s">
        <v>109</v>
      </c>
      <c r="K75" t="s">
        <v>116</v>
      </c>
      <c r="T75" s="81">
        <v>0.77083333333333337</v>
      </c>
      <c r="U75" s="1">
        <v>45949</v>
      </c>
      <c r="V75" s="1" t="s">
        <v>106</v>
      </c>
      <c r="W75" t="s">
        <v>112</v>
      </c>
      <c r="X75" s="77" t="s">
        <v>114</v>
      </c>
      <c r="Y75" t="s">
        <v>168</v>
      </c>
      <c r="Z75" t="s">
        <v>112</v>
      </c>
      <c r="AA75" s="77" t="s">
        <v>191</v>
      </c>
    </row>
    <row r="76" spans="1:28" x14ac:dyDescent="0.25">
      <c r="A76" t="s">
        <v>485</v>
      </c>
      <c r="B76" s="40">
        <v>3478912057643</v>
      </c>
      <c r="C76" t="s">
        <v>107</v>
      </c>
      <c r="D76" s="78">
        <f t="shared" si="2"/>
        <v>4232.1799999999985</v>
      </c>
      <c r="E76" s="1">
        <v>46100</v>
      </c>
      <c r="F76" s="82">
        <v>0</v>
      </c>
      <c r="G76" s="80">
        <v>11.25</v>
      </c>
      <c r="H76" t="s">
        <v>128</v>
      </c>
      <c r="I76" t="s">
        <v>80</v>
      </c>
      <c r="J76" t="s">
        <v>109</v>
      </c>
      <c r="K76" t="s">
        <v>253</v>
      </c>
      <c r="L76" t="s">
        <v>130</v>
      </c>
      <c r="N76" t="s">
        <v>131</v>
      </c>
      <c r="O76" t="s">
        <v>132</v>
      </c>
      <c r="P76">
        <v>75219</v>
      </c>
      <c r="S76" t="s">
        <v>254</v>
      </c>
      <c r="T76" s="81">
        <v>0.32500000000000001</v>
      </c>
      <c r="U76" s="1">
        <v>46048</v>
      </c>
      <c r="V76" t="s">
        <v>106</v>
      </c>
      <c r="W76" t="s">
        <v>112</v>
      </c>
      <c r="X76" s="77" t="s">
        <v>114</v>
      </c>
      <c r="Y76" t="s">
        <v>253</v>
      </c>
      <c r="AA76" s="77" t="s">
        <v>134</v>
      </c>
    </row>
    <row r="77" spans="1:28" x14ac:dyDescent="0.25">
      <c r="A77" t="s">
        <v>485</v>
      </c>
      <c r="B77" s="40">
        <v>3478912057643</v>
      </c>
      <c r="C77" t="s">
        <v>107</v>
      </c>
      <c r="D77" s="78">
        <f t="shared" si="2"/>
        <v>3957.1799999999985</v>
      </c>
      <c r="E77" s="1">
        <v>46101</v>
      </c>
      <c r="F77" s="82">
        <v>0</v>
      </c>
      <c r="G77" s="86">
        <v>275</v>
      </c>
      <c r="H77" t="s">
        <v>108</v>
      </c>
      <c r="I77" t="s">
        <v>80</v>
      </c>
      <c r="J77" t="s">
        <v>109</v>
      </c>
      <c r="K77" t="s">
        <v>116</v>
      </c>
      <c r="T77" s="81">
        <v>0.77083333333333337</v>
      </c>
      <c r="U77" s="1">
        <v>45883</v>
      </c>
      <c r="V77" t="s">
        <v>106</v>
      </c>
      <c r="W77" t="s">
        <v>112</v>
      </c>
      <c r="X77" s="77" t="s">
        <v>114</v>
      </c>
      <c r="Y77" t="s">
        <v>168</v>
      </c>
      <c r="Z77" t="s">
        <v>112</v>
      </c>
      <c r="AA77" s="77" t="s">
        <v>191</v>
      </c>
    </row>
    <row r="78" spans="1:28" x14ac:dyDescent="0.25">
      <c r="A78" t="s">
        <v>485</v>
      </c>
      <c r="B78" s="40">
        <v>3478912057643</v>
      </c>
      <c r="C78" t="s">
        <v>107</v>
      </c>
      <c r="D78" s="78">
        <f t="shared" si="2"/>
        <v>2457.1799999999985</v>
      </c>
      <c r="E78" s="1">
        <v>46101</v>
      </c>
      <c r="F78" s="82">
        <v>0</v>
      </c>
      <c r="G78" s="85">
        <v>1500</v>
      </c>
      <c r="H78" t="s">
        <v>203</v>
      </c>
      <c r="I78" t="s">
        <v>80</v>
      </c>
      <c r="J78" t="s">
        <v>109</v>
      </c>
      <c r="K78" t="s">
        <v>204</v>
      </c>
      <c r="T78" s="81"/>
      <c r="U78" s="1">
        <v>46076</v>
      </c>
      <c r="V78" t="s">
        <v>106</v>
      </c>
      <c r="W78" t="s">
        <v>112</v>
      </c>
      <c r="X78" s="77" t="s">
        <v>114</v>
      </c>
      <c r="Y78" t="s">
        <v>106</v>
      </c>
      <c r="Z78" t="s">
        <v>112</v>
      </c>
      <c r="AA78" s="77" t="s">
        <v>205</v>
      </c>
    </row>
    <row r="79" spans="1:28" x14ac:dyDescent="0.25">
      <c r="A79" t="s">
        <v>485</v>
      </c>
      <c r="B79" s="40">
        <v>3478912057643</v>
      </c>
      <c r="C79" t="s">
        <v>107</v>
      </c>
      <c r="D79" s="78">
        <f t="shared" si="2"/>
        <v>2377.1899999999987</v>
      </c>
      <c r="E79" s="1">
        <v>46102</v>
      </c>
      <c r="F79" s="82">
        <v>0</v>
      </c>
      <c r="G79" s="84">
        <v>79.989999999999995</v>
      </c>
      <c r="H79" t="s">
        <v>162</v>
      </c>
      <c r="I79" t="s">
        <v>80</v>
      </c>
      <c r="J79" t="s">
        <v>109</v>
      </c>
      <c r="K79" t="s">
        <v>163</v>
      </c>
      <c r="N79" t="s">
        <v>131</v>
      </c>
      <c r="O79" t="s">
        <v>132</v>
      </c>
      <c r="P79">
        <v>75219</v>
      </c>
      <c r="T79" s="81"/>
      <c r="U79" s="1">
        <v>46063</v>
      </c>
      <c r="V79" t="s">
        <v>106</v>
      </c>
      <c r="W79" t="s">
        <v>112</v>
      </c>
      <c r="X79" s="77" t="s">
        <v>114</v>
      </c>
      <c r="Y79" t="s">
        <v>164</v>
      </c>
      <c r="Z79" t="s">
        <v>152</v>
      </c>
      <c r="AA79" s="77" t="s">
        <v>165</v>
      </c>
    </row>
    <row r="80" spans="1:28" x14ac:dyDescent="0.25">
      <c r="A80" t="s">
        <v>485</v>
      </c>
      <c r="B80" s="40">
        <v>3478912057643</v>
      </c>
      <c r="C80" t="s">
        <v>107</v>
      </c>
      <c r="D80" s="78">
        <f t="shared" si="2"/>
        <v>2877.1899999999987</v>
      </c>
      <c r="E80" s="1">
        <v>46104</v>
      </c>
      <c r="F80" s="86">
        <v>500</v>
      </c>
      <c r="G80" s="82">
        <v>0</v>
      </c>
      <c r="H80" t="s">
        <v>108</v>
      </c>
      <c r="I80" t="s">
        <v>78</v>
      </c>
      <c r="J80" t="s">
        <v>109</v>
      </c>
      <c r="K80" t="s">
        <v>110</v>
      </c>
      <c r="T80" s="81">
        <v>0.71875</v>
      </c>
      <c r="U80" s="1">
        <v>45993</v>
      </c>
      <c r="V80" s="1" t="s">
        <v>255</v>
      </c>
      <c r="W80" t="s">
        <v>183</v>
      </c>
      <c r="X80" s="77" t="s">
        <v>256</v>
      </c>
      <c r="Y80" t="s">
        <v>106</v>
      </c>
      <c r="Z80" t="s">
        <v>112</v>
      </c>
      <c r="AA80" s="77" t="s">
        <v>114</v>
      </c>
    </row>
    <row r="81" spans="1:28" x14ac:dyDescent="0.25">
      <c r="A81" t="s">
        <v>485</v>
      </c>
      <c r="B81" s="40">
        <v>3478912057643</v>
      </c>
      <c r="C81" t="s">
        <v>107</v>
      </c>
      <c r="D81" s="78">
        <f t="shared" si="2"/>
        <v>3777.1899999999987</v>
      </c>
      <c r="E81" s="1">
        <v>46104</v>
      </c>
      <c r="F81" s="86">
        <v>900</v>
      </c>
      <c r="G81" s="82">
        <v>0</v>
      </c>
      <c r="H81" t="s">
        <v>108</v>
      </c>
      <c r="I81" t="s">
        <v>78</v>
      </c>
      <c r="J81" t="s">
        <v>109</v>
      </c>
      <c r="K81" t="s">
        <v>110</v>
      </c>
      <c r="T81" s="81">
        <v>0.47916666666666669</v>
      </c>
      <c r="U81" s="1">
        <v>46002</v>
      </c>
      <c r="V81" t="s">
        <v>199</v>
      </c>
      <c r="W81" t="s">
        <v>118</v>
      </c>
      <c r="X81" s="77" t="s">
        <v>257</v>
      </c>
      <c r="Y81" t="s">
        <v>106</v>
      </c>
      <c r="Z81" t="s">
        <v>112</v>
      </c>
      <c r="AA81" s="77" t="s">
        <v>114</v>
      </c>
    </row>
    <row r="82" spans="1:28" x14ac:dyDescent="0.25">
      <c r="A82" t="s">
        <v>485</v>
      </c>
      <c r="B82" s="40">
        <v>3478912057643</v>
      </c>
      <c r="C82" t="s">
        <v>107</v>
      </c>
      <c r="D82" s="78">
        <f t="shared" si="2"/>
        <v>4427.1899999999987</v>
      </c>
      <c r="E82" s="1">
        <v>46106</v>
      </c>
      <c r="F82" s="86">
        <v>650</v>
      </c>
      <c r="G82" s="82">
        <v>0</v>
      </c>
      <c r="H82" t="s">
        <v>108</v>
      </c>
      <c r="I82" t="s">
        <v>78</v>
      </c>
      <c r="J82" t="s">
        <v>109</v>
      </c>
      <c r="K82" t="s">
        <v>110</v>
      </c>
      <c r="T82" s="81">
        <v>0.38541666666666669</v>
      </c>
      <c r="U82" s="1">
        <v>45881</v>
      </c>
      <c r="V82" t="s">
        <v>221</v>
      </c>
      <c r="W82" t="s">
        <v>183</v>
      </c>
      <c r="X82" s="77" t="s">
        <v>258</v>
      </c>
      <c r="Y82" t="s">
        <v>106</v>
      </c>
      <c r="Z82" t="s">
        <v>112</v>
      </c>
      <c r="AA82" s="77" t="s">
        <v>114</v>
      </c>
      <c r="AB82" t="s">
        <v>154</v>
      </c>
    </row>
    <row r="83" spans="1:28" x14ac:dyDescent="0.25">
      <c r="A83" t="s">
        <v>485</v>
      </c>
      <c r="B83" s="40">
        <v>3478912057643</v>
      </c>
      <c r="C83" t="s">
        <v>107</v>
      </c>
      <c r="D83" s="78">
        <f t="shared" si="2"/>
        <v>5252.1899999999987</v>
      </c>
      <c r="E83" s="1">
        <v>46107</v>
      </c>
      <c r="F83" s="86">
        <v>825</v>
      </c>
      <c r="G83" s="82">
        <v>0</v>
      </c>
      <c r="H83" t="s">
        <v>108</v>
      </c>
      <c r="I83" t="s">
        <v>78</v>
      </c>
      <c r="J83" t="s">
        <v>109</v>
      </c>
      <c r="K83" t="s">
        <v>110</v>
      </c>
      <c r="T83" s="81">
        <v>0.38541666666666669</v>
      </c>
      <c r="U83" s="1">
        <v>45892</v>
      </c>
      <c r="V83" t="s">
        <v>259</v>
      </c>
      <c r="W83" t="s">
        <v>160</v>
      </c>
      <c r="X83" s="77" t="s">
        <v>260</v>
      </c>
      <c r="Y83" t="s">
        <v>106</v>
      </c>
      <c r="Z83" t="s">
        <v>112</v>
      </c>
      <c r="AA83" s="77" t="s">
        <v>114</v>
      </c>
      <c r="AB83" t="s">
        <v>154</v>
      </c>
    </row>
    <row r="84" spans="1:28" x14ac:dyDescent="0.25">
      <c r="A84" t="s">
        <v>485</v>
      </c>
      <c r="B84" s="40">
        <v>3478912057643</v>
      </c>
      <c r="C84" t="s">
        <v>107</v>
      </c>
      <c r="D84" s="78">
        <f t="shared" si="2"/>
        <v>6177.1899999999987</v>
      </c>
      <c r="E84" s="1">
        <v>46108</v>
      </c>
      <c r="F84" s="86">
        <v>925</v>
      </c>
      <c r="G84" s="82">
        <v>0</v>
      </c>
      <c r="H84" t="s">
        <v>108</v>
      </c>
      <c r="I84" t="s">
        <v>78</v>
      </c>
      <c r="J84" t="s">
        <v>109</v>
      </c>
      <c r="K84" t="s">
        <v>110</v>
      </c>
      <c r="T84" s="81">
        <v>0.54166666666666663</v>
      </c>
      <c r="U84" s="1">
        <v>45882</v>
      </c>
      <c r="V84" t="s">
        <v>185</v>
      </c>
      <c r="W84" t="s">
        <v>118</v>
      </c>
      <c r="X84" s="77" t="s">
        <v>261</v>
      </c>
      <c r="Y84" t="s">
        <v>106</v>
      </c>
      <c r="Z84" t="s">
        <v>112</v>
      </c>
      <c r="AA84" s="77" t="s">
        <v>114</v>
      </c>
      <c r="AB84" t="s">
        <v>115</v>
      </c>
    </row>
    <row r="85" spans="1:28" x14ac:dyDescent="0.25">
      <c r="A85" t="s">
        <v>485</v>
      </c>
      <c r="B85" s="40">
        <v>3478912057643</v>
      </c>
      <c r="C85" t="s">
        <v>107</v>
      </c>
      <c r="D85" s="78">
        <f t="shared" si="2"/>
        <v>6802.1899999999987</v>
      </c>
      <c r="E85" s="1">
        <v>46108</v>
      </c>
      <c r="F85" s="86">
        <v>625</v>
      </c>
      <c r="G85" s="82">
        <v>0</v>
      </c>
      <c r="H85" t="s">
        <v>108</v>
      </c>
      <c r="I85" t="s">
        <v>78</v>
      </c>
      <c r="J85" t="s">
        <v>109</v>
      </c>
      <c r="K85" t="s">
        <v>110</v>
      </c>
      <c r="T85" s="81">
        <v>0.65625</v>
      </c>
      <c r="U85" s="1">
        <v>45904</v>
      </c>
      <c r="V85" s="1" t="s">
        <v>217</v>
      </c>
      <c r="W85" t="s">
        <v>126</v>
      </c>
      <c r="X85" s="77" t="s">
        <v>262</v>
      </c>
      <c r="Y85" t="s">
        <v>106</v>
      </c>
      <c r="Z85" t="s">
        <v>112</v>
      </c>
      <c r="AA85" s="77" t="s">
        <v>114</v>
      </c>
      <c r="AB85" t="s">
        <v>122</v>
      </c>
    </row>
    <row r="86" spans="1:28" x14ac:dyDescent="0.25">
      <c r="A86" t="s">
        <v>485</v>
      </c>
      <c r="B86" s="40">
        <v>3478912057643</v>
      </c>
      <c r="C86" t="s">
        <v>107</v>
      </c>
      <c r="D86" s="78">
        <f t="shared" si="2"/>
        <v>7302.1899999999987</v>
      </c>
      <c r="E86" s="1">
        <v>46112</v>
      </c>
      <c r="F86" s="86">
        <v>500</v>
      </c>
      <c r="G86" s="82">
        <v>0</v>
      </c>
      <c r="H86" t="s">
        <v>108</v>
      </c>
      <c r="I86" t="s">
        <v>78</v>
      </c>
      <c r="J86" t="s">
        <v>109</v>
      </c>
      <c r="K86" t="s">
        <v>110</v>
      </c>
      <c r="T86" s="81">
        <v>0.54166666666666663</v>
      </c>
      <c r="U86" s="1">
        <v>45959</v>
      </c>
      <c r="V86" t="s">
        <v>111</v>
      </c>
      <c r="W86" t="s">
        <v>126</v>
      </c>
      <c r="X86" s="77" t="s">
        <v>263</v>
      </c>
      <c r="Y86" t="s">
        <v>106</v>
      </c>
      <c r="Z86" t="s">
        <v>112</v>
      </c>
      <c r="AA86" s="77" t="s">
        <v>114</v>
      </c>
      <c r="AB86" t="s">
        <v>115</v>
      </c>
    </row>
    <row r="87" spans="1:28" x14ac:dyDescent="0.25">
      <c r="A87" t="s">
        <v>485</v>
      </c>
      <c r="B87" s="40">
        <v>3478912057643</v>
      </c>
      <c r="C87" t="s">
        <v>107</v>
      </c>
      <c r="D87" s="78">
        <f t="shared" si="2"/>
        <v>7247.1899999999987</v>
      </c>
      <c r="E87" s="1">
        <v>46112</v>
      </c>
      <c r="F87" s="82">
        <v>0</v>
      </c>
      <c r="G87" s="83">
        <v>55</v>
      </c>
      <c r="H87" t="s">
        <v>187</v>
      </c>
      <c r="I87" t="s">
        <v>80</v>
      </c>
      <c r="J87" t="s">
        <v>109</v>
      </c>
      <c r="K87" t="s">
        <v>188</v>
      </c>
      <c r="L87" t="s">
        <v>130</v>
      </c>
      <c r="N87" t="s">
        <v>131</v>
      </c>
      <c r="O87" t="s">
        <v>132</v>
      </c>
      <c r="P87">
        <v>75219</v>
      </c>
      <c r="S87" t="s">
        <v>264</v>
      </c>
      <c r="T87" s="81">
        <v>0.67708333333333337</v>
      </c>
      <c r="U87" s="1">
        <v>46066</v>
      </c>
      <c r="V87" t="s">
        <v>106</v>
      </c>
      <c r="W87" t="s">
        <v>112</v>
      </c>
      <c r="X87" s="77" t="s">
        <v>114</v>
      </c>
      <c r="Y87" t="s">
        <v>190</v>
      </c>
      <c r="Z87" t="s">
        <v>112</v>
      </c>
      <c r="AA87" s="77" t="s">
        <v>134</v>
      </c>
    </row>
    <row r="88" spans="1:28" x14ac:dyDescent="0.25">
      <c r="A88" t="s">
        <v>485</v>
      </c>
      <c r="B88" s="40">
        <v>3478912057643</v>
      </c>
      <c r="C88" t="s">
        <v>107</v>
      </c>
      <c r="D88" s="78">
        <f t="shared" si="2"/>
        <v>10047.189999999999</v>
      </c>
      <c r="E88" s="1">
        <v>46112</v>
      </c>
      <c r="F88" s="83">
        <v>2800</v>
      </c>
      <c r="G88" s="82">
        <v>0</v>
      </c>
      <c r="H88" t="s">
        <v>135</v>
      </c>
      <c r="I88" t="s">
        <v>78</v>
      </c>
      <c r="J88" t="s">
        <v>109</v>
      </c>
      <c r="K88" t="s">
        <v>136</v>
      </c>
      <c r="N88" t="s">
        <v>131</v>
      </c>
      <c r="O88" t="s">
        <v>132</v>
      </c>
      <c r="P88">
        <v>75201</v>
      </c>
      <c r="Q88" t="s">
        <v>265</v>
      </c>
      <c r="R88" t="s">
        <v>266</v>
      </c>
      <c r="T88" s="81">
        <v>0.37916666666666665</v>
      </c>
      <c r="U88" s="1">
        <v>46202</v>
      </c>
      <c r="V88" t="s">
        <v>267</v>
      </c>
      <c r="W88" t="s">
        <v>140</v>
      </c>
      <c r="X88" s="77" t="s">
        <v>134</v>
      </c>
      <c r="Y88" t="s">
        <v>106</v>
      </c>
      <c r="Z88" t="s">
        <v>112</v>
      </c>
      <c r="AA88" s="77" t="s">
        <v>114</v>
      </c>
    </row>
    <row r="89" spans="1:28" x14ac:dyDescent="0.25">
      <c r="A89" t="s">
        <v>485</v>
      </c>
      <c r="B89" s="40">
        <v>3478912057643</v>
      </c>
      <c r="C89" t="s">
        <v>107</v>
      </c>
      <c r="D89" s="78">
        <f t="shared" si="2"/>
        <v>6847.1899999999987</v>
      </c>
      <c r="E89" s="1">
        <v>46114</v>
      </c>
      <c r="F89" s="82">
        <v>0</v>
      </c>
      <c r="G89" s="86">
        <v>3200</v>
      </c>
      <c r="H89" t="s">
        <v>108</v>
      </c>
      <c r="I89" t="s">
        <v>80</v>
      </c>
      <c r="J89" t="s">
        <v>109</v>
      </c>
      <c r="K89" t="s">
        <v>116</v>
      </c>
      <c r="T89" s="81">
        <v>0.77083333333333337</v>
      </c>
      <c r="U89" s="1">
        <v>45971</v>
      </c>
      <c r="V89" t="s">
        <v>106</v>
      </c>
      <c r="W89" t="s">
        <v>112</v>
      </c>
      <c r="X89" s="77" t="s">
        <v>114</v>
      </c>
      <c r="Y89" t="s">
        <v>125</v>
      </c>
      <c r="Z89" t="s">
        <v>126</v>
      </c>
      <c r="AA89" s="77" t="s">
        <v>206</v>
      </c>
    </row>
    <row r="90" spans="1:28" x14ac:dyDescent="0.25">
      <c r="A90" t="s">
        <v>485</v>
      </c>
      <c r="B90" s="40">
        <v>3478912057643</v>
      </c>
      <c r="C90" t="s">
        <v>107</v>
      </c>
      <c r="D90" s="78">
        <f t="shared" si="2"/>
        <v>7697.1899999999987</v>
      </c>
      <c r="E90" s="1">
        <v>46114</v>
      </c>
      <c r="F90" s="86">
        <v>850</v>
      </c>
      <c r="G90" s="82">
        <v>0</v>
      </c>
      <c r="H90" t="s">
        <v>108</v>
      </c>
      <c r="I90" t="s">
        <v>78</v>
      </c>
      <c r="J90" t="s">
        <v>109</v>
      </c>
      <c r="K90" t="s">
        <v>110</v>
      </c>
      <c r="T90" s="81">
        <v>0.47916666666666669</v>
      </c>
      <c r="U90" s="1">
        <v>46018</v>
      </c>
      <c r="V90" t="s">
        <v>268</v>
      </c>
      <c r="W90" t="s">
        <v>126</v>
      </c>
      <c r="X90" s="77" t="s">
        <v>269</v>
      </c>
      <c r="Y90" t="s">
        <v>106</v>
      </c>
      <c r="Z90" t="s">
        <v>112</v>
      </c>
      <c r="AA90" s="77" t="s">
        <v>114</v>
      </c>
    </row>
    <row r="91" spans="1:28" x14ac:dyDescent="0.25">
      <c r="A91" t="s">
        <v>485</v>
      </c>
      <c r="B91" s="40">
        <v>3478912057643</v>
      </c>
      <c r="C91" t="s">
        <v>107</v>
      </c>
      <c r="D91" s="78">
        <f t="shared" si="2"/>
        <v>7684.7899999999991</v>
      </c>
      <c r="E91" s="1">
        <v>46115</v>
      </c>
      <c r="F91" s="82">
        <v>0</v>
      </c>
      <c r="G91" s="80">
        <v>12.4</v>
      </c>
      <c r="H91" t="s">
        <v>128</v>
      </c>
      <c r="I91" t="s">
        <v>80</v>
      </c>
      <c r="J91" t="s">
        <v>109</v>
      </c>
      <c r="K91" t="s">
        <v>253</v>
      </c>
      <c r="L91" t="s">
        <v>130</v>
      </c>
      <c r="N91" t="s">
        <v>131</v>
      </c>
      <c r="O91" t="s">
        <v>132</v>
      </c>
      <c r="P91">
        <v>75219</v>
      </c>
      <c r="S91" t="s">
        <v>270</v>
      </c>
      <c r="T91" s="81">
        <v>0.32291666666666669</v>
      </c>
      <c r="U91" s="1">
        <v>46058</v>
      </c>
      <c r="V91" t="s">
        <v>106</v>
      </c>
      <c r="W91" t="s">
        <v>112</v>
      </c>
      <c r="X91" s="77" t="s">
        <v>114</v>
      </c>
      <c r="Y91" t="s">
        <v>253</v>
      </c>
      <c r="AA91" s="77" t="s">
        <v>134</v>
      </c>
    </row>
    <row r="92" spans="1:28" x14ac:dyDescent="0.25">
      <c r="A92" t="s">
        <v>485</v>
      </c>
      <c r="B92" s="40">
        <v>3478912057643</v>
      </c>
      <c r="C92" t="s">
        <v>107</v>
      </c>
      <c r="D92" s="78">
        <f t="shared" si="2"/>
        <v>7616.5899999999992</v>
      </c>
      <c r="E92" s="1">
        <v>46115</v>
      </c>
      <c r="F92" s="82">
        <v>0</v>
      </c>
      <c r="G92" s="80">
        <v>68.2</v>
      </c>
      <c r="H92" t="s">
        <v>128</v>
      </c>
      <c r="I92" t="s">
        <v>80</v>
      </c>
      <c r="J92" t="s">
        <v>109</v>
      </c>
      <c r="K92" t="s">
        <v>129</v>
      </c>
      <c r="L92" t="s">
        <v>130</v>
      </c>
      <c r="N92" t="s">
        <v>131</v>
      </c>
      <c r="O92" t="s">
        <v>132</v>
      </c>
      <c r="P92">
        <v>75219</v>
      </c>
      <c r="S92" t="s">
        <v>271</v>
      </c>
      <c r="T92" s="81">
        <v>0.8125</v>
      </c>
      <c r="U92" s="1">
        <v>46067</v>
      </c>
      <c r="V92" t="s">
        <v>106</v>
      </c>
      <c r="W92" t="s">
        <v>112</v>
      </c>
      <c r="X92" s="77" t="s">
        <v>114</v>
      </c>
      <c r="Y92" t="s">
        <v>129</v>
      </c>
      <c r="AA92" s="77" t="s">
        <v>134</v>
      </c>
    </row>
    <row r="93" spans="1:28" x14ac:dyDescent="0.25">
      <c r="A93" t="s">
        <v>485</v>
      </c>
      <c r="B93" s="40">
        <v>3478912057643</v>
      </c>
      <c r="C93" t="s">
        <v>107</v>
      </c>
      <c r="D93" s="78">
        <f t="shared" si="2"/>
        <v>7577.8399999999992</v>
      </c>
      <c r="E93" s="1">
        <v>46115</v>
      </c>
      <c r="F93" s="82">
        <v>0</v>
      </c>
      <c r="G93" s="80">
        <v>38.75</v>
      </c>
      <c r="H93" t="s">
        <v>128</v>
      </c>
      <c r="I93" t="s">
        <v>80</v>
      </c>
      <c r="J93" t="s">
        <v>109</v>
      </c>
      <c r="K93" t="s">
        <v>272</v>
      </c>
      <c r="L93" t="s">
        <v>130</v>
      </c>
      <c r="N93" t="s">
        <v>131</v>
      </c>
      <c r="O93" t="s">
        <v>132</v>
      </c>
      <c r="P93">
        <v>75219</v>
      </c>
      <c r="S93" t="s">
        <v>273</v>
      </c>
      <c r="T93" s="81">
        <v>0.375</v>
      </c>
      <c r="U93" s="1">
        <v>46077</v>
      </c>
      <c r="V93" t="s">
        <v>106</v>
      </c>
      <c r="W93" t="s">
        <v>112</v>
      </c>
      <c r="X93" s="77" t="s">
        <v>114</v>
      </c>
      <c r="Y93" t="s">
        <v>272</v>
      </c>
      <c r="AA93" s="77" t="s">
        <v>134</v>
      </c>
    </row>
    <row r="94" spans="1:28" x14ac:dyDescent="0.25">
      <c r="A94" t="s">
        <v>485</v>
      </c>
      <c r="B94" s="40">
        <v>3478912057643</v>
      </c>
      <c r="C94" t="s">
        <v>107</v>
      </c>
      <c r="D94" s="78">
        <f t="shared" si="2"/>
        <v>7532.8399999999992</v>
      </c>
      <c r="E94" s="1">
        <v>46115</v>
      </c>
      <c r="F94" s="82">
        <v>0</v>
      </c>
      <c r="G94" s="83">
        <v>45</v>
      </c>
      <c r="H94" t="s">
        <v>187</v>
      </c>
      <c r="I94" t="s">
        <v>80</v>
      </c>
      <c r="J94" t="s">
        <v>109</v>
      </c>
      <c r="K94" t="s">
        <v>188</v>
      </c>
      <c r="L94" t="s">
        <v>130</v>
      </c>
      <c r="N94" t="s">
        <v>131</v>
      </c>
      <c r="O94" t="s">
        <v>132</v>
      </c>
      <c r="P94">
        <v>75219</v>
      </c>
      <c r="S94" t="s">
        <v>274</v>
      </c>
      <c r="T94" s="81">
        <v>0.67083333333333339</v>
      </c>
      <c r="U94" s="1">
        <v>46079</v>
      </c>
      <c r="V94" t="s">
        <v>106</v>
      </c>
      <c r="W94" t="s">
        <v>112</v>
      </c>
      <c r="X94" s="77" t="s">
        <v>114</v>
      </c>
      <c r="Y94" t="s">
        <v>190</v>
      </c>
      <c r="Z94" t="s">
        <v>112</v>
      </c>
      <c r="AA94" s="77" t="s">
        <v>134</v>
      </c>
    </row>
    <row r="95" spans="1:28" x14ac:dyDescent="0.25">
      <c r="A95" t="s">
        <v>485</v>
      </c>
      <c r="B95" s="40">
        <v>3478912057643</v>
      </c>
      <c r="C95" t="s">
        <v>107</v>
      </c>
      <c r="D95" s="78">
        <f t="shared" si="2"/>
        <v>8482.84</v>
      </c>
      <c r="E95" s="1">
        <v>46118</v>
      </c>
      <c r="F95" s="86">
        <v>950</v>
      </c>
      <c r="G95" s="82">
        <v>0</v>
      </c>
      <c r="H95" t="s">
        <v>108</v>
      </c>
      <c r="I95" t="s">
        <v>78</v>
      </c>
      <c r="J95" t="s">
        <v>109</v>
      </c>
      <c r="K95" t="s">
        <v>110</v>
      </c>
      <c r="T95" s="81">
        <v>0.54166666666666663</v>
      </c>
      <c r="U95" s="1">
        <v>45992</v>
      </c>
      <c r="V95" s="1" t="s">
        <v>275</v>
      </c>
      <c r="W95" t="s">
        <v>152</v>
      </c>
      <c r="X95" s="77" t="s">
        <v>276</v>
      </c>
      <c r="Y95" t="s">
        <v>106</v>
      </c>
      <c r="Z95" t="s">
        <v>112</v>
      </c>
      <c r="AA95" s="77" t="s">
        <v>114</v>
      </c>
      <c r="AB95" t="s">
        <v>115</v>
      </c>
    </row>
    <row r="96" spans="1:28" x14ac:dyDescent="0.25">
      <c r="A96" t="s">
        <v>485</v>
      </c>
      <c r="B96" s="40">
        <v>3478912057643</v>
      </c>
      <c r="C96" t="s">
        <v>107</v>
      </c>
      <c r="D96" s="78">
        <f t="shared" si="2"/>
        <v>5282.84</v>
      </c>
      <c r="E96" s="1">
        <v>46118</v>
      </c>
      <c r="F96" s="82">
        <v>0</v>
      </c>
      <c r="G96" s="86">
        <v>3200</v>
      </c>
      <c r="H96" t="s">
        <v>108</v>
      </c>
      <c r="I96" t="s">
        <v>80</v>
      </c>
      <c r="J96" t="s">
        <v>109</v>
      </c>
      <c r="K96" t="s">
        <v>116</v>
      </c>
      <c r="T96" s="81">
        <v>0.77083333333333337</v>
      </c>
      <c r="U96" s="1">
        <v>46004</v>
      </c>
      <c r="V96" t="s">
        <v>106</v>
      </c>
      <c r="W96" t="s">
        <v>112</v>
      </c>
      <c r="X96" s="77" t="s">
        <v>114</v>
      </c>
      <c r="Y96" t="s">
        <v>125</v>
      </c>
      <c r="Z96" t="s">
        <v>126</v>
      </c>
      <c r="AA96" s="77" t="s">
        <v>206</v>
      </c>
    </row>
    <row r="97" spans="1:28" x14ac:dyDescent="0.25">
      <c r="A97" t="s">
        <v>485</v>
      </c>
      <c r="B97" s="40">
        <v>3478912057643</v>
      </c>
      <c r="C97" t="s">
        <v>107</v>
      </c>
      <c r="D97" s="78">
        <f t="shared" si="2"/>
        <v>7732.84</v>
      </c>
      <c r="E97" s="1">
        <v>46118</v>
      </c>
      <c r="F97" s="84">
        <v>2450</v>
      </c>
      <c r="G97" s="82">
        <v>0</v>
      </c>
      <c r="H97" t="s">
        <v>162</v>
      </c>
      <c r="I97" t="s">
        <v>78</v>
      </c>
      <c r="J97" t="s">
        <v>109</v>
      </c>
      <c r="K97" t="s">
        <v>181</v>
      </c>
      <c r="T97" s="81"/>
      <c r="U97" s="1">
        <v>46020</v>
      </c>
      <c r="V97" t="s">
        <v>56</v>
      </c>
      <c r="W97" t="s">
        <v>112</v>
      </c>
      <c r="X97" s="77" t="s">
        <v>277</v>
      </c>
      <c r="Y97" t="s">
        <v>106</v>
      </c>
      <c r="Z97" t="s">
        <v>112</v>
      </c>
      <c r="AA97" s="77" t="s">
        <v>114</v>
      </c>
    </row>
    <row r="98" spans="1:28" x14ac:dyDescent="0.25">
      <c r="A98" t="s">
        <v>485</v>
      </c>
      <c r="B98" s="40">
        <v>3478912057643</v>
      </c>
      <c r="C98" t="s">
        <v>107</v>
      </c>
      <c r="D98" s="78">
        <f t="shared" si="2"/>
        <v>6282.84</v>
      </c>
      <c r="E98" s="1">
        <v>46118</v>
      </c>
      <c r="F98" s="82">
        <v>0</v>
      </c>
      <c r="G98" s="84">
        <v>1450</v>
      </c>
      <c r="H98" t="s">
        <v>162</v>
      </c>
      <c r="I98" t="s">
        <v>80</v>
      </c>
      <c r="J98" t="s">
        <v>109</v>
      </c>
      <c r="K98" t="s">
        <v>194</v>
      </c>
      <c r="N98" t="s">
        <v>131</v>
      </c>
      <c r="O98" t="s">
        <v>132</v>
      </c>
      <c r="T98" s="81"/>
      <c r="U98" s="1">
        <v>46023</v>
      </c>
      <c r="V98" t="s">
        <v>106</v>
      </c>
      <c r="W98" t="s">
        <v>112</v>
      </c>
      <c r="X98" s="77" t="s">
        <v>114</v>
      </c>
      <c r="Y98" t="s">
        <v>195</v>
      </c>
      <c r="Z98" t="s">
        <v>126</v>
      </c>
      <c r="AA98" s="77" t="s">
        <v>196</v>
      </c>
    </row>
    <row r="99" spans="1:28" x14ac:dyDescent="0.25">
      <c r="A99" t="s">
        <v>485</v>
      </c>
      <c r="B99" s="40">
        <v>3478912057643</v>
      </c>
      <c r="C99" t="s">
        <v>107</v>
      </c>
      <c r="D99" s="78">
        <f t="shared" ref="D99:D130" si="3">D98+F99-G99</f>
        <v>6266.85</v>
      </c>
      <c r="E99" s="1">
        <v>46119</v>
      </c>
      <c r="F99" s="82">
        <v>0</v>
      </c>
      <c r="G99" s="84">
        <v>15.99</v>
      </c>
      <c r="H99" t="s">
        <v>162</v>
      </c>
      <c r="I99" t="s">
        <v>80</v>
      </c>
      <c r="J99" t="s">
        <v>109</v>
      </c>
      <c r="K99" t="s">
        <v>278</v>
      </c>
      <c r="T99" s="81"/>
      <c r="U99" s="1">
        <v>46068</v>
      </c>
      <c r="V99" t="s">
        <v>106</v>
      </c>
      <c r="W99" t="s">
        <v>112</v>
      </c>
      <c r="X99" s="77" t="s">
        <v>114</v>
      </c>
      <c r="Y99" t="s">
        <v>279</v>
      </c>
      <c r="Z99" t="s">
        <v>118</v>
      </c>
      <c r="AA99" s="77" t="s">
        <v>280</v>
      </c>
    </row>
    <row r="100" spans="1:28" x14ac:dyDescent="0.25">
      <c r="A100" t="s">
        <v>485</v>
      </c>
      <c r="B100" s="40">
        <v>3478912057643</v>
      </c>
      <c r="C100" t="s">
        <v>107</v>
      </c>
      <c r="D100" s="78">
        <f t="shared" si="3"/>
        <v>6147.27</v>
      </c>
      <c r="E100" s="1">
        <v>46119</v>
      </c>
      <c r="F100" s="82">
        <v>0</v>
      </c>
      <c r="G100" s="80">
        <v>119.58</v>
      </c>
      <c r="H100" t="s">
        <v>128</v>
      </c>
      <c r="I100" t="s">
        <v>80</v>
      </c>
      <c r="J100" t="s">
        <v>109</v>
      </c>
      <c r="K100" t="s">
        <v>223</v>
      </c>
      <c r="L100" t="s">
        <v>130</v>
      </c>
      <c r="N100" t="s">
        <v>131</v>
      </c>
      <c r="O100" t="s">
        <v>132</v>
      </c>
      <c r="P100">
        <v>75219</v>
      </c>
      <c r="S100" t="s">
        <v>281</v>
      </c>
      <c r="T100" s="81">
        <v>0.76250000000000007</v>
      </c>
      <c r="U100" s="1">
        <v>46078</v>
      </c>
      <c r="V100" t="s">
        <v>106</v>
      </c>
      <c r="W100" t="s">
        <v>112</v>
      </c>
      <c r="X100" s="77" t="s">
        <v>114</v>
      </c>
      <c r="Y100" t="s">
        <v>223</v>
      </c>
      <c r="AA100" s="77" t="s">
        <v>134</v>
      </c>
    </row>
    <row r="101" spans="1:28" x14ac:dyDescent="0.25">
      <c r="A101" t="s">
        <v>485</v>
      </c>
      <c r="B101" s="40">
        <v>3478912057643</v>
      </c>
      <c r="C101" t="s">
        <v>107</v>
      </c>
      <c r="D101" s="78">
        <f t="shared" si="3"/>
        <v>2872.2700000000004</v>
      </c>
      <c r="E101" s="1">
        <v>46120</v>
      </c>
      <c r="F101" s="82">
        <v>0</v>
      </c>
      <c r="G101" s="86">
        <v>3275</v>
      </c>
      <c r="H101" t="s">
        <v>108</v>
      </c>
      <c r="I101" t="s">
        <v>80</v>
      </c>
      <c r="J101" t="s">
        <v>109</v>
      </c>
      <c r="K101" t="s">
        <v>116</v>
      </c>
      <c r="T101" s="81">
        <v>0.77083333333333337</v>
      </c>
      <c r="U101" s="1">
        <v>45982</v>
      </c>
      <c r="V101" t="s">
        <v>106</v>
      </c>
      <c r="W101" t="s">
        <v>112</v>
      </c>
      <c r="X101" s="77" t="s">
        <v>114</v>
      </c>
      <c r="Y101" t="s">
        <v>168</v>
      </c>
      <c r="Z101" t="s">
        <v>112</v>
      </c>
      <c r="AA101" s="77" t="s">
        <v>191</v>
      </c>
    </row>
    <row r="102" spans="1:28" x14ac:dyDescent="0.25">
      <c r="A102" t="s">
        <v>485</v>
      </c>
      <c r="B102" s="40">
        <v>3478912057643</v>
      </c>
      <c r="C102" t="s">
        <v>107</v>
      </c>
      <c r="D102" s="78">
        <f t="shared" si="3"/>
        <v>3672.2700000000004</v>
      </c>
      <c r="E102" s="1">
        <v>46121</v>
      </c>
      <c r="F102" s="86">
        <v>800</v>
      </c>
      <c r="G102" s="82">
        <v>0</v>
      </c>
      <c r="H102" t="s">
        <v>108</v>
      </c>
      <c r="I102" t="s">
        <v>78</v>
      </c>
      <c r="J102" t="s">
        <v>109</v>
      </c>
      <c r="K102" t="s">
        <v>110</v>
      </c>
      <c r="T102" s="81">
        <v>0.38541666666666669</v>
      </c>
      <c r="U102" s="1">
        <v>45947</v>
      </c>
      <c r="V102" t="s">
        <v>151</v>
      </c>
      <c r="W102" t="s">
        <v>183</v>
      </c>
      <c r="X102" s="77" t="s">
        <v>282</v>
      </c>
      <c r="Y102" t="s">
        <v>106</v>
      </c>
      <c r="Z102" t="s">
        <v>112</v>
      </c>
      <c r="AA102" s="77" t="s">
        <v>114</v>
      </c>
      <c r="AB102" t="s">
        <v>154</v>
      </c>
    </row>
    <row r="103" spans="1:28" x14ac:dyDescent="0.25">
      <c r="A103" t="s">
        <v>485</v>
      </c>
      <c r="B103" s="40">
        <v>3478912057643</v>
      </c>
      <c r="C103" t="s">
        <v>107</v>
      </c>
      <c r="D103" s="78">
        <f t="shared" si="3"/>
        <v>4297.2700000000004</v>
      </c>
      <c r="E103" s="1">
        <v>46122</v>
      </c>
      <c r="F103" s="86">
        <v>625</v>
      </c>
      <c r="G103" s="82">
        <v>0</v>
      </c>
      <c r="H103" t="s">
        <v>108</v>
      </c>
      <c r="I103" t="s">
        <v>78</v>
      </c>
      <c r="J103" t="s">
        <v>109</v>
      </c>
      <c r="K103" t="s">
        <v>110</v>
      </c>
      <c r="T103" s="81">
        <v>0.47916666666666669</v>
      </c>
      <c r="U103" s="1">
        <v>45870</v>
      </c>
      <c r="V103" t="s">
        <v>199</v>
      </c>
      <c r="W103" t="s">
        <v>118</v>
      </c>
      <c r="X103" s="77" t="s">
        <v>283</v>
      </c>
      <c r="Y103" t="s">
        <v>106</v>
      </c>
      <c r="Z103" t="s">
        <v>112</v>
      </c>
      <c r="AA103" s="77" t="s">
        <v>114</v>
      </c>
    </row>
    <row r="104" spans="1:28" x14ac:dyDescent="0.25">
      <c r="A104" t="s">
        <v>485</v>
      </c>
      <c r="B104" s="40">
        <v>3478912057643</v>
      </c>
      <c r="C104" t="s">
        <v>107</v>
      </c>
      <c r="D104" s="78">
        <f t="shared" si="3"/>
        <v>4097.2700000000004</v>
      </c>
      <c r="E104" s="1">
        <v>46122</v>
      </c>
      <c r="F104" s="82">
        <v>0</v>
      </c>
      <c r="G104" s="86">
        <v>200</v>
      </c>
      <c r="H104" t="s">
        <v>108</v>
      </c>
      <c r="I104" t="s">
        <v>80</v>
      </c>
      <c r="J104" t="s">
        <v>109</v>
      </c>
      <c r="K104" t="s">
        <v>116</v>
      </c>
      <c r="T104" s="81">
        <v>0.77083333333333337</v>
      </c>
      <c r="U104" s="1">
        <v>45938</v>
      </c>
      <c r="V104" s="1" t="s">
        <v>106</v>
      </c>
      <c r="W104" t="s">
        <v>112</v>
      </c>
      <c r="X104" s="77" t="s">
        <v>114</v>
      </c>
      <c r="Y104" t="s">
        <v>125</v>
      </c>
      <c r="Z104" t="s">
        <v>126</v>
      </c>
      <c r="AA104" s="77" t="s">
        <v>206</v>
      </c>
    </row>
    <row r="105" spans="1:28" x14ac:dyDescent="0.25">
      <c r="A105" t="s">
        <v>485</v>
      </c>
      <c r="B105" s="40">
        <v>3478912057643</v>
      </c>
      <c r="C105" t="s">
        <v>107</v>
      </c>
      <c r="D105" s="78">
        <f t="shared" si="3"/>
        <v>2897.2700000000004</v>
      </c>
      <c r="E105" s="1">
        <v>46125</v>
      </c>
      <c r="F105" s="82">
        <v>0</v>
      </c>
      <c r="G105" s="86">
        <v>1200</v>
      </c>
      <c r="H105" t="s">
        <v>108</v>
      </c>
      <c r="I105" t="s">
        <v>80</v>
      </c>
      <c r="J105" t="s">
        <v>109</v>
      </c>
      <c r="K105" t="s">
        <v>116</v>
      </c>
      <c r="T105" s="81">
        <v>0.77083333333333337</v>
      </c>
      <c r="U105" s="1">
        <v>45905</v>
      </c>
      <c r="V105" t="s">
        <v>106</v>
      </c>
      <c r="W105" t="s">
        <v>112</v>
      </c>
      <c r="X105" s="77" t="s">
        <v>114</v>
      </c>
      <c r="Y105" t="s">
        <v>125</v>
      </c>
      <c r="Z105" t="s">
        <v>126</v>
      </c>
      <c r="AA105" s="77" t="s">
        <v>206</v>
      </c>
    </row>
    <row r="106" spans="1:28" x14ac:dyDescent="0.25">
      <c r="A106" t="s">
        <v>485</v>
      </c>
      <c r="B106" s="40">
        <v>3478912057643</v>
      </c>
      <c r="C106" t="s">
        <v>107</v>
      </c>
      <c r="D106" s="78">
        <f t="shared" si="3"/>
        <v>2870.0900000000006</v>
      </c>
      <c r="E106" s="1">
        <v>46127</v>
      </c>
      <c r="F106" s="82">
        <v>0</v>
      </c>
      <c r="G106" s="80">
        <v>27.18</v>
      </c>
      <c r="H106" t="s">
        <v>128</v>
      </c>
      <c r="I106" t="s">
        <v>80</v>
      </c>
      <c r="J106" t="s">
        <v>109</v>
      </c>
      <c r="K106" t="s">
        <v>173</v>
      </c>
      <c r="L106" t="s">
        <v>130</v>
      </c>
      <c r="N106" t="s">
        <v>131</v>
      </c>
      <c r="O106" t="s">
        <v>132</v>
      </c>
      <c r="P106">
        <v>75219</v>
      </c>
      <c r="S106" t="s">
        <v>284</v>
      </c>
      <c r="T106" s="81">
        <v>0.54999999999999993</v>
      </c>
      <c r="U106" s="1">
        <v>46075</v>
      </c>
      <c r="V106" t="s">
        <v>106</v>
      </c>
      <c r="W106" t="s">
        <v>112</v>
      </c>
      <c r="X106" s="77" t="s">
        <v>114</v>
      </c>
      <c r="Y106" t="s">
        <v>173</v>
      </c>
      <c r="AA106" s="77" t="s">
        <v>134</v>
      </c>
    </row>
    <row r="107" spans="1:28" x14ac:dyDescent="0.25">
      <c r="A107" t="s">
        <v>485</v>
      </c>
      <c r="B107" s="40">
        <v>3478912057643</v>
      </c>
      <c r="C107" t="s">
        <v>107</v>
      </c>
      <c r="D107" s="78">
        <f t="shared" si="3"/>
        <v>3470.0900000000006</v>
      </c>
      <c r="E107" s="1">
        <v>46128</v>
      </c>
      <c r="F107" s="86">
        <v>600</v>
      </c>
      <c r="G107" s="82">
        <v>0</v>
      </c>
      <c r="H107" t="s">
        <v>108</v>
      </c>
      <c r="I107" t="s">
        <v>78</v>
      </c>
      <c r="J107" t="s">
        <v>109</v>
      </c>
      <c r="K107" t="s">
        <v>110</v>
      </c>
      <c r="T107" s="81">
        <v>0.54166666666666663</v>
      </c>
      <c r="U107" s="1">
        <v>45893</v>
      </c>
      <c r="V107" t="s">
        <v>285</v>
      </c>
      <c r="W107" t="s">
        <v>126</v>
      </c>
      <c r="X107" s="77" t="s">
        <v>286</v>
      </c>
      <c r="Y107" t="s">
        <v>106</v>
      </c>
      <c r="Z107" t="s">
        <v>112</v>
      </c>
      <c r="AA107" s="77" t="s">
        <v>114</v>
      </c>
      <c r="AB107" t="s">
        <v>115</v>
      </c>
    </row>
    <row r="108" spans="1:28" x14ac:dyDescent="0.25">
      <c r="A108" t="s">
        <v>485</v>
      </c>
      <c r="B108" s="40">
        <v>3478912057643</v>
      </c>
      <c r="C108" t="s">
        <v>107</v>
      </c>
      <c r="D108" s="78">
        <f t="shared" si="3"/>
        <v>3438.4400000000005</v>
      </c>
      <c r="E108" s="1">
        <v>46128</v>
      </c>
      <c r="F108" s="82">
        <v>0</v>
      </c>
      <c r="G108" s="80">
        <v>31.65</v>
      </c>
      <c r="H108" t="s">
        <v>128</v>
      </c>
      <c r="I108" t="s">
        <v>80</v>
      </c>
      <c r="J108" t="s">
        <v>109</v>
      </c>
      <c r="K108" t="s">
        <v>215</v>
      </c>
      <c r="L108" t="s">
        <v>130</v>
      </c>
      <c r="N108" t="s">
        <v>131</v>
      </c>
      <c r="O108" t="s">
        <v>132</v>
      </c>
      <c r="P108">
        <v>75219</v>
      </c>
      <c r="S108" t="s">
        <v>287</v>
      </c>
      <c r="T108" s="81">
        <v>0.55833333333333335</v>
      </c>
      <c r="U108" s="1">
        <v>46061</v>
      </c>
      <c r="V108" t="s">
        <v>106</v>
      </c>
      <c r="W108" t="s">
        <v>112</v>
      </c>
      <c r="X108" s="77" t="s">
        <v>114</v>
      </c>
      <c r="Y108" t="s">
        <v>215</v>
      </c>
      <c r="AA108" s="77" t="s">
        <v>134</v>
      </c>
    </row>
    <row r="109" spans="1:28" x14ac:dyDescent="0.25">
      <c r="A109" t="s">
        <v>485</v>
      </c>
      <c r="B109" s="40">
        <v>3478912057643</v>
      </c>
      <c r="C109" t="s">
        <v>107</v>
      </c>
      <c r="D109" s="78">
        <f t="shared" si="3"/>
        <v>4013.4400000000005</v>
      </c>
      <c r="E109" s="1">
        <v>46129</v>
      </c>
      <c r="F109" s="86">
        <v>575</v>
      </c>
      <c r="G109" s="82">
        <v>0</v>
      </c>
      <c r="H109" t="s">
        <v>108</v>
      </c>
      <c r="I109" t="s">
        <v>78</v>
      </c>
      <c r="J109" t="s">
        <v>109</v>
      </c>
      <c r="K109" t="s">
        <v>110</v>
      </c>
      <c r="T109" s="81">
        <v>0.54166666666666663</v>
      </c>
      <c r="U109" s="1">
        <v>45948</v>
      </c>
      <c r="V109" t="s">
        <v>275</v>
      </c>
      <c r="W109" t="s">
        <v>118</v>
      </c>
      <c r="X109" s="77" t="s">
        <v>288</v>
      </c>
      <c r="Y109" t="s">
        <v>106</v>
      </c>
      <c r="Z109" t="s">
        <v>112</v>
      </c>
      <c r="AA109" s="77" t="s">
        <v>114</v>
      </c>
      <c r="AB109" t="s">
        <v>115</v>
      </c>
    </row>
    <row r="110" spans="1:28" x14ac:dyDescent="0.25">
      <c r="A110" t="s">
        <v>485</v>
      </c>
      <c r="B110" s="40">
        <v>3478912057643</v>
      </c>
      <c r="C110" t="s">
        <v>107</v>
      </c>
      <c r="D110" s="78">
        <f t="shared" si="3"/>
        <v>2285.8500000000004</v>
      </c>
      <c r="E110" s="1">
        <v>46132</v>
      </c>
      <c r="F110" s="82">
        <v>0</v>
      </c>
      <c r="G110" s="86">
        <v>1727.59</v>
      </c>
      <c r="H110" t="s">
        <v>79</v>
      </c>
      <c r="I110" t="s">
        <v>80</v>
      </c>
      <c r="J110" t="s">
        <v>109</v>
      </c>
      <c r="K110" t="s">
        <v>116</v>
      </c>
      <c r="T110" s="81">
        <v>0.64166666666666672</v>
      </c>
      <c r="U110" s="1">
        <v>46132</v>
      </c>
      <c r="V110" t="s">
        <v>106</v>
      </c>
      <c r="W110" t="s">
        <v>112</v>
      </c>
      <c r="X110" s="77" t="s">
        <v>114</v>
      </c>
      <c r="Y110" t="s">
        <v>156</v>
      </c>
      <c r="Z110" t="s">
        <v>152</v>
      </c>
      <c r="AA110" s="77" t="s">
        <v>157</v>
      </c>
    </row>
    <row r="111" spans="1:28" x14ac:dyDescent="0.25">
      <c r="A111" t="s">
        <v>485</v>
      </c>
      <c r="B111" s="40">
        <v>3478912057643</v>
      </c>
      <c r="C111" t="s">
        <v>107</v>
      </c>
      <c r="D111" s="78">
        <f t="shared" si="3"/>
        <v>3060.8500000000004</v>
      </c>
      <c r="E111" s="1">
        <v>46133</v>
      </c>
      <c r="F111" s="86">
        <v>775</v>
      </c>
      <c r="G111" s="82">
        <v>0</v>
      </c>
      <c r="H111" t="s">
        <v>108</v>
      </c>
      <c r="I111" t="s">
        <v>78</v>
      </c>
      <c r="J111" t="s">
        <v>109</v>
      </c>
      <c r="K111" t="s">
        <v>110</v>
      </c>
      <c r="T111" s="81">
        <v>0.65625</v>
      </c>
      <c r="U111" s="1">
        <v>45970</v>
      </c>
      <c r="V111" t="s">
        <v>158</v>
      </c>
      <c r="W111" t="s">
        <v>126</v>
      </c>
      <c r="X111" s="77" t="s">
        <v>289</v>
      </c>
      <c r="Y111" t="s">
        <v>106</v>
      </c>
      <c r="Z111" t="s">
        <v>112</v>
      </c>
      <c r="AA111" s="77" t="s">
        <v>114</v>
      </c>
      <c r="AB111" t="s">
        <v>122</v>
      </c>
    </row>
    <row r="112" spans="1:28" x14ac:dyDescent="0.25">
      <c r="A112" t="s">
        <v>485</v>
      </c>
      <c r="B112" s="40">
        <v>3478912057643</v>
      </c>
      <c r="C112" t="s">
        <v>107</v>
      </c>
      <c r="D112" s="78">
        <f t="shared" si="3"/>
        <v>3860.8500000000004</v>
      </c>
      <c r="E112" s="1">
        <v>46133</v>
      </c>
      <c r="F112" s="86">
        <v>800</v>
      </c>
      <c r="G112" s="82">
        <v>0</v>
      </c>
      <c r="H112" t="s">
        <v>108</v>
      </c>
      <c r="I112" t="s">
        <v>78</v>
      </c>
      <c r="J112" t="s">
        <v>109</v>
      </c>
      <c r="K112" t="s">
        <v>110</v>
      </c>
      <c r="T112" s="81">
        <v>0.54166666666666663</v>
      </c>
      <c r="U112" s="1">
        <v>45981</v>
      </c>
      <c r="V112" s="1" t="s">
        <v>285</v>
      </c>
      <c r="W112" t="s">
        <v>160</v>
      </c>
      <c r="X112" s="77" t="s">
        <v>290</v>
      </c>
      <c r="Y112" t="s">
        <v>106</v>
      </c>
      <c r="Z112" t="s">
        <v>112</v>
      </c>
      <c r="AA112" s="77" t="s">
        <v>114</v>
      </c>
      <c r="AB112" t="s">
        <v>115</v>
      </c>
    </row>
    <row r="113" spans="1:28" x14ac:dyDescent="0.25">
      <c r="A113" t="s">
        <v>485</v>
      </c>
      <c r="B113" s="40">
        <v>3478912057643</v>
      </c>
      <c r="C113" t="s">
        <v>107</v>
      </c>
      <c r="D113" s="78">
        <f t="shared" si="3"/>
        <v>3782.55</v>
      </c>
      <c r="E113" s="1">
        <v>46133</v>
      </c>
      <c r="F113" s="82">
        <v>0</v>
      </c>
      <c r="G113" s="80">
        <v>78.3</v>
      </c>
      <c r="H113" t="s">
        <v>128</v>
      </c>
      <c r="I113" t="s">
        <v>80</v>
      </c>
      <c r="J113" t="s">
        <v>109</v>
      </c>
      <c r="K113" t="s">
        <v>242</v>
      </c>
      <c r="L113" t="s">
        <v>130</v>
      </c>
      <c r="N113" t="s">
        <v>131</v>
      </c>
      <c r="O113" t="s">
        <v>132</v>
      </c>
      <c r="P113">
        <v>75219</v>
      </c>
      <c r="S113" t="s">
        <v>291</v>
      </c>
      <c r="T113" s="81">
        <v>0.75</v>
      </c>
      <c r="U113" s="1">
        <v>46084</v>
      </c>
      <c r="V113" t="s">
        <v>106</v>
      </c>
      <c r="W113" t="s">
        <v>112</v>
      </c>
      <c r="X113" s="77" t="s">
        <v>114</v>
      </c>
      <c r="Y113" t="s">
        <v>242</v>
      </c>
      <c r="AA113" s="77" t="s">
        <v>134</v>
      </c>
    </row>
    <row r="114" spans="1:28" x14ac:dyDescent="0.25">
      <c r="A114" t="s">
        <v>485</v>
      </c>
      <c r="B114" s="40">
        <v>3478912057643</v>
      </c>
      <c r="C114" t="s">
        <v>107</v>
      </c>
      <c r="D114" s="78">
        <f t="shared" si="3"/>
        <v>2088.12</v>
      </c>
      <c r="E114" s="1">
        <v>46134</v>
      </c>
      <c r="F114" s="82">
        <v>0</v>
      </c>
      <c r="G114" s="86">
        <v>1694.43</v>
      </c>
      <c r="H114" t="s">
        <v>79</v>
      </c>
      <c r="I114" t="s">
        <v>80</v>
      </c>
      <c r="J114" t="s">
        <v>109</v>
      </c>
      <c r="K114" t="s">
        <v>116</v>
      </c>
      <c r="T114" s="81">
        <v>0.40833333333333338</v>
      </c>
      <c r="U114" s="1">
        <v>46134</v>
      </c>
      <c r="V114" t="s">
        <v>106</v>
      </c>
      <c r="W114" t="s">
        <v>112</v>
      </c>
      <c r="X114" s="77" t="s">
        <v>114</v>
      </c>
      <c r="Y114" t="s">
        <v>168</v>
      </c>
      <c r="Z114" t="s">
        <v>112</v>
      </c>
      <c r="AA114" s="77" t="s">
        <v>169</v>
      </c>
      <c r="AB114" t="s">
        <v>154</v>
      </c>
    </row>
    <row r="115" spans="1:28" x14ac:dyDescent="0.25">
      <c r="A115" t="s">
        <v>485</v>
      </c>
      <c r="B115" s="40">
        <v>3478912057643</v>
      </c>
      <c r="C115" t="s">
        <v>107</v>
      </c>
      <c r="D115" s="78">
        <f t="shared" si="3"/>
        <v>1738.12</v>
      </c>
      <c r="E115" s="1">
        <v>46135</v>
      </c>
      <c r="F115" s="82">
        <v>0</v>
      </c>
      <c r="G115" s="86">
        <v>350</v>
      </c>
      <c r="H115" t="s">
        <v>108</v>
      </c>
      <c r="I115" t="s">
        <v>80</v>
      </c>
      <c r="J115" t="s">
        <v>109</v>
      </c>
      <c r="K115" t="s">
        <v>116</v>
      </c>
      <c r="T115" s="81">
        <v>0.77083333333333337</v>
      </c>
      <c r="U115" s="1">
        <v>45927</v>
      </c>
      <c r="V115" t="s">
        <v>106</v>
      </c>
      <c r="W115" t="s">
        <v>112</v>
      </c>
      <c r="X115" s="77" t="s">
        <v>114</v>
      </c>
      <c r="Y115" t="s">
        <v>117</v>
      </c>
      <c r="Z115" t="s">
        <v>118</v>
      </c>
      <c r="AA115" s="77" t="s">
        <v>155</v>
      </c>
      <c r="AB115" t="s">
        <v>154</v>
      </c>
    </row>
    <row r="116" spans="1:28" x14ac:dyDescent="0.25">
      <c r="A116" t="s">
        <v>485</v>
      </c>
      <c r="B116" s="40">
        <v>3478912057643</v>
      </c>
      <c r="C116" t="s">
        <v>107</v>
      </c>
      <c r="D116" s="78">
        <f t="shared" si="3"/>
        <v>1628.6899999999998</v>
      </c>
      <c r="E116" s="1">
        <v>46136</v>
      </c>
      <c r="F116" s="82">
        <v>0</v>
      </c>
      <c r="G116" s="80">
        <v>109.43</v>
      </c>
      <c r="H116" t="s">
        <v>128</v>
      </c>
      <c r="I116" t="s">
        <v>80</v>
      </c>
      <c r="J116" t="s">
        <v>109</v>
      </c>
      <c r="K116" t="s">
        <v>166</v>
      </c>
      <c r="L116" t="s">
        <v>130</v>
      </c>
      <c r="N116" t="s">
        <v>131</v>
      </c>
      <c r="O116" t="s">
        <v>132</v>
      </c>
      <c r="P116">
        <v>75219</v>
      </c>
      <c r="S116" t="s">
        <v>292</v>
      </c>
      <c r="T116" s="81">
        <v>0.73958333333333337</v>
      </c>
      <c r="U116" s="1">
        <v>46052</v>
      </c>
      <c r="V116" t="s">
        <v>106</v>
      </c>
      <c r="W116" t="s">
        <v>112</v>
      </c>
      <c r="X116" s="77" t="s">
        <v>114</v>
      </c>
      <c r="Y116" t="s">
        <v>166</v>
      </c>
      <c r="AA116" s="77" t="s">
        <v>134</v>
      </c>
    </row>
    <row r="117" spans="1:28" x14ac:dyDescent="0.25">
      <c r="A117" t="s">
        <v>485</v>
      </c>
      <c r="B117" s="40">
        <v>3478912057643</v>
      </c>
      <c r="C117" t="s">
        <v>107</v>
      </c>
      <c r="D117" s="78">
        <f t="shared" si="3"/>
        <v>1443.3899999999999</v>
      </c>
      <c r="E117" s="1">
        <v>46139</v>
      </c>
      <c r="F117" s="82">
        <v>0</v>
      </c>
      <c r="G117" s="84">
        <v>185.3</v>
      </c>
      <c r="H117" t="s">
        <v>162</v>
      </c>
      <c r="I117" t="s">
        <v>80</v>
      </c>
      <c r="J117" t="s">
        <v>109</v>
      </c>
      <c r="K117" t="s">
        <v>293</v>
      </c>
      <c r="N117" t="s">
        <v>131</v>
      </c>
      <c r="O117" t="s">
        <v>132</v>
      </c>
      <c r="T117" s="81"/>
      <c r="U117" s="1">
        <v>46024</v>
      </c>
      <c r="V117" t="s">
        <v>106</v>
      </c>
      <c r="W117" t="s">
        <v>112</v>
      </c>
      <c r="X117" s="77" t="s">
        <v>114</v>
      </c>
      <c r="Y117" t="s">
        <v>294</v>
      </c>
      <c r="Z117" t="s">
        <v>295</v>
      </c>
      <c r="AA117" s="77" t="s">
        <v>296</v>
      </c>
    </row>
    <row r="118" spans="1:28" x14ac:dyDescent="0.25">
      <c r="A118" t="s">
        <v>485</v>
      </c>
      <c r="B118" s="40">
        <v>3478912057643</v>
      </c>
      <c r="C118" t="s">
        <v>107</v>
      </c>
      <c r="D118" s="78">
        <f t="shared" si="3"/>
        <v>1918.3899999999999</v>
      </c>
      <c r="E118" s="1">
        <v>46140</v>
      </c>
      <c r="F118" s="86">
        <v>475</v>
      </c>
      <c r="G118" s="82">
        <v>0</v>
      </c>
      <c r="H118" t="s">
        <v>108</v>
      </c>
      <c r="I118" t="s">
        <v>78</v>
      </c>
      <c r="J118" t="s">
        <v>109</v>
      </c>
      <c r="K118" t="s">
        <v>110</v>
      </c>
      <c r="T118" s="81">
        <v>0.71875</v>
      </c>
      <c r="U118" s="1">
        <v>45883</v>
      </c>
      <c r="V118" s="1" t="s">
        <v>123</v>
      </c>
      <c r="W118" t="s">
        <v>152</v>
      </c>
      <c r="X118" s="77" t="s">
        <v>297</v>
      </c>
      <c r="Y118" t="s">
        <v>106</v>
      </c>
      <c r="Z118" t="s">
        <v>112</v>
      </c>
      <c r="AA118" s="77" t="s">
        <v>114</v>
      </c>
    </row>
    <row r="119" spans="1:28" x14ac:dyDescent="0.25">
      <c r="A119" t="s">
        <v>485</v>
      </c>
      <c r="B119" s="40">
        <v>3478912057643</v>
      </c>
      <c r="C119" t="s">
        <v>107</v>
      </c>
      <c r="D119" s="78">
        <f t="shared" si="3"/>
        <v>2593.39</v>
      </c>
      <c r="E119" s="1">
        <v>46140</v>
      </c>
      <c r="F119" s="86">
        <v>675</v>
      </c>
      <c r="G119" s="82">
        <v>0</v>
      </c>
      <c r="H119" t="s">
        <v>108</v>
      </c>
      <c r="I119" t="s">
        <v>78</v>
      </c>
      <c r="J119" t="s">
        <v>109</v>
      </c>
      <c r="K119" t="s">
        <v>110</v>
      </c>
      <c r="T119" s="81">
        <v>0.71875</v>
      </c>
      <c r="U119" s="1">
        <v>45894</v>
      </c>
      <c r="V119" t="s">
        <v>245</v>
      </c>
      <c r="W119" t="s">
        <v>112</v>
      </c>
      <c r="X119" s="77" t="s">
        <v>298</v>
      </c>
      <c r="Y119" t="s">
        <v>106</v>
      </c>
      <c r="Z119" t="s">
        <v>112</v>
      </c>
      <c r="AA119" s="77" t="s">
        <v>114</v>
      </c>
    </row>
    <row r="120" spans="1:28" x14ac:dyDescent="0.25">
      <c r="A120" t="s">
        <v>485</v>
      </c>
      <c r="B120" s="40">
        <v>3478912057643</v>
      </c>
      <c r="C120" t="s">
        <v>107</v>
      </c>
      <c r="D120" s="78">
        <f t="shared" si="3"/>
        <v>3393.39</v>
      </c>
      <c r="E120" s="1">
        <v>46140</v>
      </c>
      <c r="F120" s="86">
        <v>800</v>
      </c>
      <c r="G120" s="82">
        <v>0</v>
      </c>
      <c r="H120" t="s">
        <v>108</v>
      </c>
      <c r="I120" t="s">
        <v>78</v>
      </c>
      <c r="J120" t="s">
        <v>109</v>
      </c>
      <c r="K120" t="s">
        <v>110</v>
      </c>
      <c r="T120" s="81">
        <v>0.65625</v>
      </c>
      <c r="U120" s="1">
        <v>45915</v>
      </c>
      <c r="V120" s="1" t="s">
        <v>120</v>
      </c>
      <c r="W120" t="s">
        <v>183</v>
      </c>
      <c r="X120" s="77" t="s">
        <v>299</v>
      </c>
      <c r="Y120" t="s">
        <v>106</v>
      </c>
      <c r="Z120" t="s">
        <v>112</v>
      </c>
      <c r="AA120" s="77" t="s">
        <v>114</v>
      </c>
      <c r="AB120" t="s">
        <v>122</v>
      </c>
    </row>
    <row r="121" spans="1:28" x14ac:dyDescent="0.25">
      <c r="A121" t="s">
        <v>485</v>
      </c>
      <c r="B121" s="40">
        <v>3478912057643</v>
      </c>
      <c r="C121" t="s">
        <v>107</v>
      </c>
      <c r="D121" s="78">
        <f t="shared" si="3"/>
        <v>3843.39</v>
      </c>
      <c r="E121" s="1">
        <v>46140</v>
      </c>
      <c r="F121" s="86">
        <v>450</v>
      </c>
      <c r="G121" s="82">
        <v>0</v>
      </c>
      <c r="H121" t="s">
        <v>108</v>
      </c>
      <c r="I121" t="s">
        <v>78</v>
      </c>
      <c r="J121" t="s">
        <v>109</v>
      </c>
      <c r="K121" t="s">
        <v>110</v>
      </c>
      <c r="T121" s="81">
        <v>0.47916666666666669</v>
      </c>
      <c r="U121" s="1">
        <v>45969</v>
      </c>
      <c r="V121" t="s">
        <v>268</v>
      </c>
      <c r="W121" t="s">
        <v>160</v>
      </c>
      <c r="X121" s="77" t="s">
        <v>300</v>
      </c>
      <c r="Y121" t="s">
        <v>106</v>
      </c>
      <c r="Z121" t="s">
        <v>112</v>
      </c>
      <c r="AA121" s="77" t="s">
        <v>114</v>
      </c>
    </row>
    <row r="122" spans="1:28" x14ac:dyDescent="0.25">
      <c r="A122" t="s">
        <v>485</v>
      </c>
      <c r="B122" s="40">
        <v>3478912057643</v>
      </c>
      <c r="C122" t="s">
        <v>107</v>
      </c>
      <c r="D122" s="78">
        <f t="shared" si="3"/>
        <v>4468.3899999999994</v>
      </c>
      <c r="E122" s="1">
        <v>46141</v>
      </c>
      <c r="F122" s="86">
        <v>625</v>
      </c>
      <c r="G122" s="82">
        <v>0</v>
      </c>
      <c r="H122" t="s">
        <v>108</v>
      </c>
      <c r="I122" t="s">
        <v>78</v>
      </c>
      <c r="J122" t="s">
        <v>109</v>
      </c>
      <c r="K122" t="s">
        <v>110</v>
      </c>
      <c r="T122" s="81">
        <v>0.38541666666666669</v>
      </c>
      <c r="U122" s="1">
        <v>45936</v>
      </c>
      <c r="V122" t="s">
        <v>259</v>
      </c>
      <c r="W122" t="s">
        <v>126</v>
      </c>
      <c r="X122" s="77" t="s">
        <v>301</v>
      </c>
      <c r="Y122" t="s">
        <v>106</v>
      </c>
      <c r="Z122" t="s">
        <v>112</v>
      </c>
      <c r="AA122" s="77" t="s">
        <v>114</v>
      </c>
      <c r="AB122" t="s">
        <v>154</v>
      </c>
    </row>
    <row r="123" spans="1:28" x14ac:dyDescent="0.25">
      <c r="A123" t="s">
        <v>485</v>
      </c>
      <c r="B123" s="40">
        <v>3478912057643</v>
      </c>
      <c r="C123" t="s">
        <v>107</v>
      </c>
      <c r="D123" s="78">
        <f t="shared" si="3"/>
        <v>4943.3899999999994</v>
      </c>
      <c r="E123" s="1">
        <v>46141</v>
      </c>
      <c r="F123" s="86">
        <v>475</v>
      </c>
      <c r="G123" s="82">
        <v>0</v>
      </c>
      <c r="H123" t="s">
        <v>108</v>
      </c>
      <c r="I123" t="s">
        <v>78</v>
      </c>
      <c r="J123" t="s">
        <v>109</v>
      </c>
      <c r="K123" t="s">
        <v>110</v>
      </c>
      <c r="T123" s="81">
        <v>0.38541666666666669</v>
      </c>
      <c r="U123" s="1">
        <v>45980</v>
      </c>
      <c r="V123" s="1" t="s">
        <v>259</v>
      </c>
      <c r="W123" t="s">
        <v>112</v>
      </c>
      <c r="X123" s="77" t="s">
        <v>302</v>
      </c>
      <c r="Y123" t="s">
        <v>106</v>
      </c>
      <c r="Z123" t="s">
        <v>112</v>
      </c>
      <c r="AA123" s="77" t="s">
        <v>114</v>
      </c>
      <c r="AB123" t="s">
        <v>154</v>
      </c>
    </row>
    <row r="124" spans="1:28" x14ac:dyDescent="0.25">
      <c r="A124" t="s">
        <v>485</v>
      </c>
      <c r="B124" s="40">
        <v>3478912057643</v>
      </c>
      <c r="C124" t="s">
        <v>107</v>
      </c>
      <c r="D124" s="78">
        <f t="shared" si="3"/>
        <v>5368.3899999999994</v>
      </c>
      <c r="E124" s="1">
        <v>46143</v>
      </c>
      <c r="F124" s="86">
        <v>425</v>
      </c>
      <c r="G124" s="82">
        <v>0</v>
      </c>
      <c r="H124" t="s">
        <v>108</v>
      </c>
      <c r="I124" t="s">
        <v>78</v>
      </c>
      <c r="J124" t="s">
        <v>109</v>
      </c>
      <c r="K124" t="s">
        <v>110</v>
      </c>
      <c r="T124" s="81">
        <v>0.47916666666666669</v>
      </c>
      <c r="U124" s="1">
        <v>45947</v>
      </c>
      <c r="V124" s="1" t="s">
        <v>145</v>
      </c>
      <c r="W124" t="s">
        <v>126</v>
      </c>
      <c r="X124" s="77" t="s">
        <v>303</v>
      </c>
      <c r="Y124" t="s">
        <v>106</v>
      </c>
      <c r="Z124" t="s">
        <v>112</v>
      </c>
      <c r="AA124" s="77" t="s">
        <v>114</v>
      </c>
    </row>
    <row r="125" spans="1:28" x14ac:dyDescent="0.25">
      <c r="A125" t="s">
        <v>485</v>
      </c>
      <c r="B125" s="40">
        <v>3478912057643</v>
      </c>
      <c r="C125" t="s">
        <v>107</v>
      </c>
      <c r="D125" s="78">
        <f t="shared" si="3"/>
        <v>5326.2899999999991</v>
      </c>
      <c r="E125" s="1">
        <v>46143</v>
      </c>
      <c r="F125" s="82">
        <v>0</v>
      </c>
      <c r="G125" s="80">
        <v>42.1</v>
      </c>
      <c r="H125" t="s">
        <v>128</v>
      </c>
      <c r="I125" t="s">
        <v>80</v>
      </c>
      <c r="J125" t="s">
        <v>109</v>
      </c>
      <c r="K125" t="s">
        <v>178</v>
      </c>
      <c r="L125" t="s">
        <v>130</v>
      </c>
      <c r="N125" t="s">
        <v>131</v>
      </c>
      <c r="O125" t="s">
        <v>132</v>
      </c>
      <c r="P125">
        <v>75219</v>
      </c>
      <c r="S125" t="s">
        <v>304</v>
      </c>
      <c r="T125" s="81">
        <v>0.42499999999999999</v>
      </c>
      <c r="U125" s="1">
        <v>46046</v>
      </c>
      <c r="V125" t="s">
        <v>106</v>
      </c>
      <c r="W125" t="s">
        <v>112</v>
      </c>
      <c r="X125" s="77" t="s">
        <v>114</v>
      </c>
      <c r="Y125" t="s">
        <v>180</v>
      </c>
      <c r="AA125" s="77" t="s">
        <v>134</v>
      </c>
    </row>
    <row r="126" spans="1:28" x14ac:dyDescent="0.25">
      <c r="A126" t="s">
        <v>485</v>
      </c>
      <c r="B126" s="40">
        <v>3478912057643</v>
      </c>
      <c r="C126" t="s">
        <v>107</v>
      </c>
      <c r="D126" s="78">
        <f t="shared" si="3"/>
        <v>7776.2899999999991</v>
      </c>
      <c r="E126" s="1">
        <v>46144</v>
      </c>
      <c r="F126" s="84">
        <v>2450</v>
      </c>
      <c r="G126" s="82">
        <v>0</v>
      </c>
      <c r="H126" t="s">
        <v>162</v>
      </c>
      <c r="I126" t="s">
        <v>78</v>
      </c>
      <c r="J126" t="s">
        <v>109</v>
      </c>
      <c r="K126" t="s">
        <v>181</v>
      </c>
      <c r="T126" s="81"/>
      <c r="U126" s="1">
        <v>46034</v>
      </c>
      <c r="V126" t="s">
        <v>56</v>
      </c>
      <c r="W126" t="s">
        <v>112</v>
      </c>
      <c r="X126" s="77" t="s">
        <v>305</v>
      </c>
      <c r="Y126" t="s">
        <v>106</v>
      </c>
      <c r="Z126" t="s">
        <v>112</v>
      </c>
      <c r="AA126" s="77" t="s">
        <v>114</v>
      </c>
    </row>
    <row r="127" spans="1:28" x14ac:dyDescent="0.25">
      <c r="A127" t="s">
        <v>485</v>
      </c>
      <c r="B127" s="40">
        <v>3478912057643</v>
      </c>
      <c r="C127" t="s">
        <v>107</v>
      </c>
      <c r="D127" s="78">
        <f t="shared" si="3"/>
        <v>8226.2899999999991</v>
      </c>
      <c r="E127" s="1">
        <v>46146</v>
      </c>
      <c r="F127" s="86">
        <v>450</v>
      </c>
      <c r="G127" s="82">
        <v>0</v>
      </c>
      <c r="H127" t="s">
        <v>108</v>
      </c>
      <c r="I127" t="s">
        <v>78</v>
      </c>
      <c r="J127" t="s">
        <v>109</v>
      </c>
      <c r="K127" t="s">
        <v>110</v>
      </c>
      <c r="T127" s="81">
        <v>0.38541666666666669</v>
      </c>
      <c r="U127" s="1">
        <v>45870</v>
      </c>
      <c r="V127" t="s">
        <v>225</v>
      </c>
      <c r="W127" t="s">
        <v>126</v>
      </c>
      <c r="X127" s="77" t="s">
        <v>306</v>
      </c>
      <c r="Y127" t="s">
        <v>106</v>
      </c>
      <c r="Z127" t="s">
        <v>112</v>
      </c>
      <c r="AA127" s="77" t="s">
        <v>114</v>
      </c>
      <c r="AB127" t="s">
        <v>154</v>
      </c>
    </row>
    <row r="128" spans="1:28" x14ac:dyDescent="0.25">
      <c r="A128" t="s">
        <v>485</v>
      </c>
      <c r="B128" s="40">
        <v>3478912057643</v>
      </c>
      <c r="C128" t="s">
        <v>107</v>
      </c>
      <c r="D128" s="78">
        <f t="shared" si="3"/>
        <v>8179.9699999999993</v>
      </c>
      <c r="E128" s="1">
        <v>46147</v>
      </c>
      <c r="F128" s="82">
        <v>0</v>
      </c>
      <c r="G128" s="80">
        <v>46.32</v>
      </c>
      <c r="H128" t="s">
        <v>128</v>
      </c>
      <c r="I128" t="s">
        <v>80</v>
      </c>
      <c r="J128" t="s">
        <v>109</v>
      </c>
      <c r="K128" t="s">
        <v>272</v>
      </c>
      <c r="L128" t="s">
        <v>130</v>
      </c>
      <c r="N128" t="s">
        <v>131</v>
      </c>
      <c r="O128" t="s">
        <v>132</v>
      </c>
      <c r="P128">
        <v>75219</v>
      </c>
      <c r="S128" t="s">
        <v>307</v>
      </c>
      <c r="T128" s="81">
        <v>0.39166666666666666</v>
      </c>
      <c r="U128" s="1">
        <v>46039</v>
      </c>
      <c r="V128" t="s">
        <v>106</v>
      </c>
      <c r="W128" t="s">
        <v>112</v>
      </c>
      <c r="X128" s="77" t="s">
        <v>114</v>
      </c>
      <c r="Y128" t="s">
        <v>272</v>
      </c>
      <c r="AA128" s="77" t="s">
        <v>134</v>
      </c>
    </row>
    <row r="129" spans="1:28" x14ac:dyDescent="0.25">
      <c r="A129" t="s">
        <v>485</v>
      </c>
      <c r="B129" s="40">
        <v>3478912057643</v>
      </c>
      <c r="C129" t="s">
        <v>107</v>
      </c>
      <c r="D129" s="78">
        <f t="shared" si="3"/>
        <v>8163.98</v>
      </c>
      <c r="E129" s="1">
        <v>46147</v>
      </c>
      <c r="F129" s="82">
        <v>0</v>
      </c>
      <c r="G129" s="84">
        <v>15.99</v>
      </c>
      <c r="H129" t="s">
        <v>162</v>
      </c>
      <c r="I129" t="s">
        <v>80</v>
      </c>
      <c r="J129" t="s">
        <v>109</v>
      </c>
      <c r="K129" t="s">
        <v>278</v>
      </c>
      <c r="T129" s="81"/>
      <c r="U129" s="1">
        <v>46041</v>
      </c>
      <c r="V129" t="s">
        <v>106</v>
      </c>
      <c r="W129" t="s">
        <v>112</v>
      </c>
      <c r="X129" s="77" t="s">
        <v>114</v>
      </c>
      <c r="Y129" t="s">
        <v>279</v>
      </c>
      <c r="Z129" t="s">
        <v>118</v>
      </c>
      <c r="AA129" s="77" t="s">
        <v>280</v>
      </c>
    </row>
    <row r="130" spans="1:28" x14ac:dyDescent="0.25">
      <c r="A130" t="s">
        <v>485</v>
      </c>
      <c r="B130" s="40">
        <v>3478912057643</v>
      </c>
      <c r="C130" t="s">
        <v>107</v>
      </c>
      <c r="D130" s="78">
        <f t="shared" si="3"/>
        <v>8042.3099999999995</v>
      </c>
      <c r="E130" s="1">
        <v>46149</v>
      </c>
      <c r="F130" s="82">
        <v>0</v>
      </c>
      <c r="G130" s="80">
        <v>121.67</v>
      </c>
      <c r="H130" t="s">
        <v>128</v>
      </c>
      <c r="I130" t="s">
        <v>80</v>
      </c>
      <c r="J130" t="s">
        <v>109</v>
      </c>
      <c r="K130" t="s">
        <v>241</v>
      </c>
      <c r="L130" t="s">
        <v>130</v>
      </c>
      <c r="N130" t="s">
        <v>131</v>
      </c>
      <c r="O130" t="s">
        <v>132</v>
      </c>
      <c r="P130">
        <v>75219</v>
      </c>
      <c r="S130" t="s">
        <v>308</v>
      </c>
      <c r="T130" s="81">
        <v>0.76666666666666661</v>
      </c>
      <c r="U130" s="1">
        <v>46045</v>
      </c>
      <c r="V130" t="s">
        <v>106</v>
      </c>
      <c r="W130" t="s">
        <v>112</v>
      </c>
      <c r="X130" s="77" t="s">
        <v>114</v>
      </c>
      <c r="Y130" t="s">
        <v>241</v>
      </c>
      <c r="AA130" s="77" t="s">
        <v>134</v>
      </c>
    </row>
    <row r="131" spans="1:28" x14ac:dyDescent="0.25">
      <c r="A131" t="s">
        <v>485</v>
      </c>
      <c r="B131" s="40">
        <v>3478912057643</v>
      </c>
      <c r="C131" t="s">
        <v>107</v>
      </c>
      <c r="D131" s="78">
        <f t="shared" ref="D131:D162" si="4">D130+F131-G131</f>
        <v>8492.31</v>
      </c>
      <c r="E131" s="1">
        <v>46150</v>
      </c>
      <c r="F131" s="86">
        <v>450</v>
      </c>
      <c r="G131" s="82">
        <v>0</v>
      </c>
      <c r="H131" t="s">
        <v>108</v>
      </c>
      <c r="I131" t="s">
        <v>78</v>
      </c>
      <c r="J131" t="s">
        <v>109</v>
      </c>
      <c r="K131" t="s">
        <v>110</v>
      </c>
      <c r="T131" s="81">
        <v>0.47916666666666669</v>
      </c>
      <c r="U131" s="1">
        <v>45892</v>
      </c>
      <c r="V131" s="1" t="s">
        <v>201</v>
      </c>
      <c r="W131" t="s">
        <v>183</v>
      </c>
      <c r="X131" s="77" t="s">
        <v>309</v>
      </c>
      <c r="Y131" t="s">
        <v>106</v>
      </c>
      <c r="Z131" t="s">
        <v>112</v>
      </c>
      <c r="AA131" s="77" t="s">
        <v>114</v>
      </c>
    </row>
    <row r="132" spans="1:28" x14ac:dyDescent="0.25">
      <c r="A132" t="s">
        <v>485</v>
      </c>
      <c r="B132" s="40">
        <v>3478912057643</v>
      </c>
      <c r="C132" t="s">
        <v>107</v>
      </c>
      <c r="D132" s="78">
        <f t="shared" si="4"/>
        <v>9167.31</v>
      </c>
      <c r="E132" s="1">
        <v>46150</v>
      </c>
      <c r="F132" s="86">
        <v>675</v>
      </c>
      <c r="G132" s="82">
        <v>0</v>
      </c>
      <c r="H132" t="s">
        <v>108</v>
      </c>
      <c r="I132" t="s">
        <v>78</v>
      </c>
      <c r="J132" t="s">
        <v>109</v>
      </c>
      <c r="K132" t="s">
        <v>110</v>
      </c>
      <c r="T132" s="81">
        <v>0.47916666666666669</v>
      </c>
      <c r="U132" s="1">
        <v>45925</v>
      </c>
      <c r="V132" t="s">
        <v>268</v>
      </c>
      <c r="W132" t="s">
        <v>112</v>
      </c>
      <c r="X132" s="77" t="s">
        <v>310</v>
      </c>
      <c r="Y132" t="s">
        <v>106</v>
      </c>
      <c r="Z132" t="s">
        <v>112</v>
      </c>
      <c r="AA132" s="77" t="s">
        <v>114</v>
      </c>
    </row>
    <row r="133" spans="1:28" x14ac:dyDescent="0.25">
      <c r="A133" t="s">
        <v>485</v>
      </c>
      <c r="B133" s="40">
        <v>3478912057643</v>
      </c>
      <c r="C133" t="s">
        <v>107</v>
      </c>
      <c r="D133" s="78">
        <f t="shared" si="4"/>
        <v>9080.9699999999993</v>
      </c>
      <c r="E133" s="1">
        <v>46150</v>
      </c>
      <c r="F133" s="82">
        <v>0</v>
      </c>
      <c r="G133" s="80">
        <v>86.34</v>
      </c>
      <c r="H133" t="s">
        <v>128</v>
      </c>
      <c r="I133" t="s">
        <v>80</v>
      </c>
      <c r="J133" t="s">
        <v>109</v>
      </c>
      <c r="K133" t="s">
        <v>166</v>
      </c>
      <c r="L133" t="s">
        <v>130</v>
      </c>
      <c r="N133" t="s">
        <v>131</v>
      </c>
      <c r="O133" t="s">
        <v>132</v>
      </c>
      <c r="P133">
        <v>75219</v>
      </c>
      <c r="S133" t="s">
        <v>311</v>
      </c>
      <c r="T133" s="81">
        <v>0.74583333333333324</v>
      </c>
      <c r="U133" s="1">
        <v>46073</v>
      </c>
      <c r="V133" t="s">
        <v>106</v>
      </c>
      <c r="W133" t="s">
        <v>112</v>
      </c>
      <c r="X133" s="77" t="s">
        <v>114</v>
      </c>
      <c r="Y133" t="s">
        <v>166</v>
      </c>
      <c r="AA133" s="77" t="s">
        <v>134</v>
      </c>
    </row>
    <row r="134" spans="1:28" x14ac:dyDescent="0.25">
      <c r="A134" t="s">
        <v>485</v>
      </c>
      <c r="B134" s="40">
        <v>3478912057643</v>
      </c>
      <c r="C134" t="s">
        <v>107</v>
      </c>
      <c r="D134" s="78">
        <f t="shared" si="4"/>
        <v>9580.9699999999993</v>
      </c>
      <c r="E134" s="1">
        <v>46156</v>
      </c>
      <c r="F134" s="86">
        <v>500</v>
      </c>
      <c r="G134" s="82">
        <v>0</v>
      </c>
      <c r="H134" t="s">
        <v>108</v>
      </c>
      <c r="I134" t="s">
        <v>78</v>
      </c>
      <c r="J134" t="s">
        <v>109</v>
      </c>
      <c r="K134" t="s">
        <v>110</v>
      </c>
      <c r="T134" s="81">
        <v>0.38541666666666669</v>
      </c>
      <c r="U134" s="1">
        <v>45925</v>
      </c>
      <c r="V134" t="s">
        <v>221</v>
      </c>
      <c r="W134" t="s">
        <v>118</v>
      </c>
      <c r="X134" s="77" t="s">
        <v>312</v>
      </c>
      <c r="Y134" t="s">
        <v>106</v>
      </c>
      <c r="Z134" t="s">
        <v>112</v>
      </c>
      <c r="AA134" s="77" t="s">
        <v>114</v>
      </c>
      <c r="AB134" t="s">
        <v>154</v>
      </c>
    </row>
    <row r="135" spans="1:28" x14ac:dyDescent="0.25">
      <c r="A135" t="s">
        <v>485</v>
      </c>
      <c r="B135" s="40">
        <v>3478912057643</v>
      </c>
      <c r="C135" t="s">
        <v>107</v>
      </c>
      <c r="D135" s="78">
        <f t="shared" si="4"/>
        <v>10030.969999999999</v>
      </c>
      <c r="E135" s="1">
        <v>46157</v>
      </c>
      <c r="F135" s="86">
        <v>450</v>
      </c>
      <c r="G135" s="82">
        <v>0</v>
      </c>
      <c r="H135" t="s">
        <v>108</v>
      </c>
      <c r="I135" t="s">
        <v>78</v>
      </c>
      <c r="J135" t="s">
        <v>109</v>
      </c>
      <c r="K135" t="s">
        <v>110</v>
      </c>
      <c r="T135" s="81">
        <v>0.54166666666666663</v>
      </c>
      <c r="U135" s="1">
        <v>45904</v>
      </c>
      <c r="V135" t="s">
        <v>275</v>
      </c>
      <c r="W135" t="s">
        <v>183</v>
      </c>
      <c r="X135" s="77" t="s">
        <v>313</v>
      </c>
      <c r="Y135" t="s">
        <v>106</v>
      </c>
      <c r="Z135" t="s">
        <v>112</v>
      </c>
      <c r="AA135" s="77" t="s">
        <v>114</v>
      </c>
      <c r="AB135" t="s">
        <v>115</v>
      </c>
    </row>
    <row r="136" spans="1:28" x14ac:dyDescent="0.25">
      <c r="A136" t="s">
        <v>485</v>
      </c>
      <c r="B136" s="40">
        <v>3478912057643</v>
      </c>
      <c r="C136" t="s">
        <v>107</v>
      </c>
      <c r="D136" s="78">
        <f t="shared" si="4"/>
        <v>10455.969999999999</v>
      </c>
      <c r="E136" s="1">
        <v>46160</v>
      </c>
      <c r="F136" s="86">
        <v>425</v>
      </c>
      <c r="G136" s="82">
        <v>0</v>
      </c>
      <c r="H136" t="s">
        <v>108</v>
      </c>
      <c r="I136" t="s">
        <v>78</v>
      </c>
      <c r="J136" t="s">
        <v>109</v>
      </c>
      <c r="K136" t="s">
        <v>110</v>
      </c>
      <c r="T136" s="81">
        <v>0.65625</v>
      </c>
      <c r="U136" s="1">
        <v>45981</v>
      </c>
      <c r="V136" t="s">
        <v>170</v>
      </c>
      <c r="W136" t="s">
        <v>183</v>
      </c>
      <c r="X136" s="77" t="s">
        <v>314</v>
      </c>
      <c r="Y136" t="s">
        <v>106</v>
      </c>
      <c r="Z136" t="s">
        <v>112</v>
      </c>
      <c r="AA136" s="77" t="s">
        <v>114</v>
      </c>
      <c r="AB136" t="s">
        <v>122</v>
      </c>
    </row>
    <row r="137" spans="1:28" x14ac:dyDescent="0.25">
      <c r="A137" t="s">
        <v>485</v>
      </c>
      <c r="B137" s="40">
        <v>3478912057643</v>
      </c>
      <c r="C137" t="s">
        <v>107</v>
      </c>
      <c r="D137" s="78">
        <f t="shared" si="4"/>
        <v>10293.17</v>
      </c>
      <c r="E137" s="1">
        <v>46160</v>
      </c>
      <c r="F137" s="82">
        <v>0</v>
      </c>
      <c r="G137" s="84">
        <v>162.80000000000001</v>
      </c>
      <c r="H137" t="s">
        <v>162</v>
      </c>
      <c r="I137" t="s">
        <v>80</v>
      </c>
      <c r="J137" t="s">
        <v>109</v>
      </c>
      <c r="K137" t="s">
        <v>212</v>
      </c>
      <c r="N137" t="s">
        <v>131</v>
      </c>
      <c r="O137" t="s">
        <v>132</v>
      </c>
      <c r="T137" s="81"/>
      <c r="U137" s="1">
        <v>46035</v>
      </c>
      <c r="V137" t="s">
        <v>106</v>
      </c>
      <c r="W137" t="s">
        <v>112</v>
      </c>
      <c r="X137" s="77" t="s">
        <v>114</v>
      </c>
      <c r="Y137" t="s">
        <v>213</v>
      </c>
      <c r="Z137" t="s">
        <v>112</v>
      </c>
      <c r="AA137" s="77" t="s">
        <v>214</v>
      </c>
    </row>
    <row r="138" spans="1:28" x14ac:dyDescent="0.25">
      <c r="A138" t="s">
        <v>485</v>
      </c>
      <c r="B138" s="40">
        <v>3478912057643</v>
      </c>
      <c r="C138" t="s">
        <v>107</v>
      </c>
      <c r="D138" s="78">
        <f t="shared" si="4"/>
        <v>10218.67</v>
      </c>
      <c r="E138" s="1">
        <v>46161</v>
      </c>
      <c r="F138" s="82">
        <v>0</v>
      </c>
      <c r="G138" s="84">
        <v>74.5</v>
      </c>
      <c r="H138" t="s">
        <v>162</v>
      </c>
      <c r="I138" t="s">
        <v>80</v>
      </c>
      <c r="J138" t="s">
        <v>109</v>
      </c>
      <c r="K138" t="s">
        <v>247</v>
      </c>
      <c r="N138" t="s">
        <v>131</v>
      </c>
      <c r="O138" t="s">
        <v>132</v>
      </c>
      <c r="P138">
        <v>75219</v>
      </c>
      <c r="T138" s="81"/>
      <c r="U138" s="1">
        <v>46063</v>
      </c>
      <c r="V138" t="s">
        <v>106</v>
      </c>
      <c r="W138" t="s">
        <v>112</v>
      </c>
      <c r="X138" s="77" t="s">
        <v>114</v>
      </c>
      <c r="Y138" t="s">
        <v>248</v>
      </c>
      <c r="Z138" t="s">
        <v>152</v>
      </c>
      <c r="AA138" s="77" t="s">
        <v>249</v>
      </c>
    </row>
    <row r="139" spans="1:28" x14ac:dyDescent="0.25">
      <c r="A139" t="s">
        <v>485</v>
      </c>
      <c r="B139" s="40">
        <v>3478912057643</v>
      </c>
      <c r="C139" t="s">
        <v>107</v>
      </c>
      <c r="D139" s="78">
        <f t="shared" si="4"/>
        <v>10115.210000000001</v>
      </c>
      <c r="E139" s="1">
        <v>46161</v>
      </c>
      <c r="F139" s="82">
        <v>0</v>
      </c>
      <c r="G139" s="80">
        <v>103.46</v>
      </c>
      <c r="H139" t="s">
        <v>128</v>
      </c>
      <c r="I139" t="s">
        <v>80</v>
      </c>
      <c r="J139" t="s">
        <v>109</v>
      </c>
      <c r="K139" t="s">
        <v>241</v>
      </c>
      <c r="L139" t="s">
        <v>130</v>
      </c>
      <c r="N139" t="s">
        <v>131</v>
      </c>
      <c r="O139" t="s">
        <v>132</v>
      </c>
      <c r="P139">
        <v>75219</v>
      </c>
      <c r="S139" t="s">
        <v>315</v>
      </c>
      <c r="T139" s="81">
        <v>0.75416666666666676</v>
      </c>
      <c r="U139" s="1">
        <v>46070</v>
      </c>
      <c r="V139" t="s">
        <v>106</v>
      </c>
      <c r="W139" t="s">
        <v>112</v>
      </c>
      <c r="X139" s="77" t="s">
        <v>114</v>
      </c>
      <c r="Y139" t="s">
        <v>241</v>
      </c>
      <c r="AA139" s="77" t="s">
        <v>134</v>
      </c>
    </row>
    <row r="140" spans="1:28" x14ac:dyDescent="0.25">
      <c r="A140" t="s">
        <v>485</v>
      </c>
      <c r="B140" s="40">
        <v>3478912057643</v>
      </c>
      <c r="C140" t="s">
        <v>107</v>
      </c>
      <c r="D140" s="78">
        <f t="shared" si="4"/>
        <v>9988.4900000000016</v>
      </c>
      <c r="E140" s="1">
        <v>46162</v>
      </c>
      <c r="F140" s="82">
        <v>0</v>
      </c>
      <c r="G140" s="80">
        <v>126.72</v>
      </c>
      <c r="H140" t="s">
        <v>128</v>
      </c>
      <c r="I140" t="s">
        <v>80</v>
      </c>
      <c r="J140" t="s">
        <v>109</v>
      </c>
      <c r="K140" t="s">
        <v>166</v>
      </c>
      <c r="L140" t="s">
        <v>130</v>
      </c>
      <c r="N140" t="s">
        <v>131</v>
      </c>
      <c r="O140" t="s">
        <v>132</v>
      </c>
      <c r="P140">
        <v>75219</v>
      </c>
      <c r="S140" t="s">
        <v>316</v>
      </c>
      <c r="T140" s="81">
        <v>0.73333333333333339</v>
      </c>
      <c r="U140" s="1">
        <v>46080</v>
      </c>
      <c r="V140" t="s">
        <v>106</v>
      </c>
      <c r="W140" t="s">
        <v>112</v>
      </c>
      <c r="X140" s="77" t="s">
        <v>114</v>
      </c>
      <c r="Y140" t="s">
        <v>166</v>
      </c>
      <c r="AA140" s="77" t="s">
        <v>134</v>
      </c>
    </row>
    <row r="141" spans="1:28" x14ac:dyDescent="0.25">
      <c r="A141" t="s">
        <v>485</v>
      </c>
      <c r="B141" s="40">
        <v>3478912057643</v>
      </c>
      <c r="C141" t="s">
        <v>107</v>
      </c>
      <c r="D141" s="78">
        <f t="shared" si="4"/>
        <v>9979.7400000000016</v>
      </c>
      <c r="E141" s="1">
        <v>46163</v>
      </c>
      <c r="F141" s="82">
        <v>0</v>
      </c>
      <c r="G141" s="80">
        <v>8.75</v>
      </c>
      <c r="H141" t="s">
        <v>128</v>
      </c>
      <c r="I141" t="s">
        <v>80</v>
      </c>
      <c r="J141" t="s">
        <v>109</v>
      </c>
      <c r="K141" t="s">
        <v>253</v>
      </c>
      <c r="L141" t="s">
        <v>130</v>
      </c>
      <c r="N141" t="s">
        <v>131</v>
      </c>
      <c r="O141" t="s">
        <v>132</v>
      </c>
      <c r="T141" s="81">
        <v>0.32291666666666669</v>
      </c>
      <c r="U141" s="1">
        <v>46037</v>
      </c>
      <c r="V141" t="s">
        <v>106</v>
      </c>
      <c r="W141" t="s">
        <v>112</v>
      </c>
      <c r="X141" s="77" t="s">
        <v>114</v>
      </c>
      <c r="Y141" t="s">
        <v>253</v>
      </c>
      <c r="AA141" s="77" t="s">
        <v>134</v>
      </c>
    </row>
    <row r="142" spans="1:28" x14ac:dyDescent="0.25">
      <c r="A142" t="s">
        <v>485</v>
      </c>
      <c r="B142" s="40">
        <v>3478912057643</v>
      </c>
      <c r="C142" t="s">
        <v>107</v>
      </c>
      <c r="D142" s="78">
        <f t="shared" si="4"/>
        <v>10879.740000000002</v>
      </c>
      <c r="E142" s="1">
        <v>46164</v>
      </c>
      <c r="F142" s="86">
        <v>900</v>
      </c>
      <c r="G142" s="82">
        <v>0</v>
      </c>
      <c r="H142" t="s">
        <v>108</v>
      </c>
      <c r="I142" t="s">
        <v>78</v>
      </c>
      <c r="J142" t="s">
        <v>109</v>
      </c>
      <c r="K142" t="s">
        <v>110</v>
      </c>
      <c r="T142" s="81">
        <v>0.54166666666666663</v>
      </c>
      <c r="U142" s="1">
        <v>45937</v>
      </c>
      <c r="V142" t="s">
        <v>285</v>
      </c>
      <c r="W142" t="s">
        <v>112</v>
      </c>
      <c r="X142" s="77" t="s">
        <v>317</v>
      </c>
      <c r="Y142" t="s">
        <v>106</v>
      </c>
      <c r="Z142" t="s">
        <v>112</v>
      </c>
      <c r="AA142" s="77" t="s">
        <v>114</v>
      </c>
      <c r="AB142" t="s">
        <v>115</v>
      </c>
    </row>
    <row r="143" spans="1:28" x14ac:dyDescent="0.25">
      <c r="A143" t="s">
        <v>485</v>
      </c>
      <c r="B143" s="40">
        <v>3478912057643</v>
      </c>
      <c r="C143" t="s">
        <v>107</v>
      </c>
      <c r="D143" s="78">
        <f t="shared" si="4"/>
        <v>10870.090000000002</v>
      </c>
      <c r="E143" s="1">
        <v>46167</v>
      </c>
      <c r="F143" s="82">
        <v>0</v>
      </c>
      <c r="G143" s="80">
        <v>9.65</v>
      </c>
      <c r="H143" t="s">
        <v>128</v>
      </c>
      <c r="I143" t="s">
        <v>80</v>
      </c>
      <c r="J143" t="s">
        <v>109</v>
      </c>
      <c r="K143" t="s">
        <v>253</v>
      </c>
      <c r="L143" t="s">
        <v>130</v>
      </c>
      <c r="N143" t="s">
        <v>131</v>
      </c>
      <c r="O143" t="s">
        <v>132</v>
      </c>
      <c r="P143">
        <v>75219</v>
      </c>
      <c r="S143" t="s">
        <v>318</v>
      </c>
      <c r="T143" s="81">
        <v>0.32083333333333336</v>
      </c>
      <c r="U143" s="1">
        <v>46072</v>
      </c>
      <c r="V143" t="s">
        <v>106</v>
      </c>
      <c r="W143" t="s">
        <v>112</v>
      </c>
      <c r="X143" s="77" t="s">
        <v>114</v>
      </c>
      <c r="Y143" t="s">
        <v>253</v>
      </c>
      <c r="AA143" s="77" t="s">
        <v>134</v>
      </c>
    </row>
    <row r="144" spans="1:28" x14ac:dyDescent="0.25">
      <c r="A144" t="s">
        <v>485</v>
      </c>
      <c r="B144" s="40">
        <v>3478912057643</v>
      </c>
      <c r="C144" t="s">
        <v>107</v>
      </c>
      <c r="D144" s="78">
        <f t="shared" si="4"/>
        <v>13620.090000000002</v>
      </c>
      <c r="E144" s="1">
        <v>46167</v>
      </c>
      <c r="F144" s="83">
        <v>2750</v>
      </c>
      <c r="G144" s="82">
        <v>0</v>
      </c>
      <c r="H144" t="s">
        <v>135</v>
      </c>
      <c r="I144" t="s">
        <v>78</v>
      </c>
      <c r="J144" t="s">
        <v>109</v>
      </c>
      <c r="K144" t="s">
        <v>136</v>
      </c>
      <c r="N144" t="s">
        <v>319</v>
      </c>
      <c r="O144" t="s">
        <v>132</v>
      </c>
      <c r="P144">
        <v>76010</v>
      </c>
      <c r="Q144" t="s">
        <v>320</v>
      </c>
      <c r="R144" t="s">
        <v>321</v>
      </c>
      <c r="T144" s="81">
        <v>0.5625</v>
      </c>
      <c r="U144" s="1">
        <v>46202</v>
      </c>
      <c r="V144" t="s">
        <v>322</v>
      </c>
      <c r="W144" t="s">
        <v>140</v>
      </c>
      <c r="X144" s="77" t="s">
        <v>134</v>
      </c>
      <c r="Y144" t="s">
        <v>106</v>
      </c>
      <c r="Z144" t="s">
        <v>112</v>
      </c>
      <c r="AA144" s="77" t="s">
        <v>114</v>
      </c>
    </row>
    <row r="145" spans="1:28" x14ac:dyDescent="0.25">
      <c r="A145" t="s">
        <v>485</v>
      </c>
      <c r="B145" s="40">
        <v>3478912057643</v>
      </c>
      <c r="C145" t="s">
        <v>107</v>
      </c>
      <c r="D145" s="78">
        <f t="shared" si="4"/>
        <v>10345.090000000002</v>
      </c>
      <c r="E145" s="1">
        <v>46168</v>
      </c>
      <c r="F145" s="82">
        <v>0</v>
      </c>
      <c r="G145" s="86">
        <v>3275</v>
      </c>
      <c r="H145" t="s">
        <v>108</v>
      </c>
      <c r="I145" t="s">
        <v>80</v>
      </c>
      <c r="J145" t="s">
        <v>109</v>
      </c>
      <c r="K145" t="s">
        <v>116</v>
      </c>
      <c r="T145" s="81">
        <v>0.77083333333333337</v>
      </c>
      <c r="U145" s="1">
        <v>45916</v>
      </c>
      <c r="V145" s="1" t="s">
        <v>106</v>
      </c>
      <c r="W145" t="s">
        <v>112</v>
      </c>
      <c r="X145" s="77" t="s">
        <v>114</v>
      </c>
      <c r="Y145" t="s">
        <v>168</v>
      </c>
      <c r="Z145" t="s">
        <v>112</v>
      </c>
      <c r="AA145" s="77" t="s">
        <v>191</v>
      </c>
    </row>
    <row r="146" spans="1:28" x14ac:dyDescent="0.25">
      <c r="A146" t="s">
        <v>485</v>
      </c>
      <c r="B146" s="40">
        <v>3478912057643</v>
      </c>
      <c r="C146" t="s">
        <v>107</v>
      </c>
      <c r="D146" s="78">
        <f t="shared" si="4"/>
        <v>10895.090000000002</v>
      </c>
      <c r="E146" s="1">
        <v>46169</v>
      </c>
      <c r="F146" s="86">
        <v>550</v>
      </c>
      <c r="G146" s="82">
        <v>0</v>
      </c>
      <c r="H146" t="s">
        <v>108</v>
      </c>
      <c r="I146" t="s">
        <v>78</v>
      </c>
      <c r="J146" t="s">
        <v>109</v>
      </c>
      <c r="K146" t="s">
        <v>110</v>
      </c>
      <c r="T146" s="81">
        <v>0.38541666666666669</v>
      </c>
      <c r="U146" s="1">
        <v>45969</v>
      </c>
      <c r="V146" s="1" t="s">
        <v>221</v>
      </c>
      <c r="W146" t="s">
        <v>152</v>
      </c>
      <c r="X146" s="77" t="s">
        <v>323</v>
      </c>
      <c r="Y146" t="s">
        <v>106</v>
      </c>
      <c r="Z146" t="s">
        <v>112</v>
      </c>
      <c r="AA146" s="77" t="s">
        <v>114</v>
      </c>
      <c r="AB146" t="s">
        <v>154</v>
      </c>
    </row>
    <row r="147" spans="1:28" x14ac:dyDescent="0.25">
      <c r="A147" t="s">
        <v>485</v>
      </c>
      <c r="B147" s="40">
        <v>3478912057643</v>
      </c>
      <c r="C147" t="s">
        <v>107</v>
      </c>
      <c r="D147" s="78">
        <f t="shared" si="4"/>
        <v>10846.340000000002</v>
      </c>
      <c r="E147" s="1">
        <v>46169</v>
      </c>
      <c r="F147" s="82">
        <v>0</v>
      </c>
      <c r="G147" s="80">
        <v>48.75</v>
      </c>
      <c r="H147" t="s">
        <v>128</v>
      </c>
      <c r="I147" t="s">
        <v>80</v>
      </c>
      <c r="J147" t="s">
        <v>109</v>
      </c>
      <c r="K147" t="s">
        <v>178</v>
      </c>
      <c r="L147" t="s">
        <v>130</v>
      </c>
      <c r="N147" t="s">
        <v>131</v>
      </c>
      <c r="O147" t="s">
        <v>132</v>
      </c>
      <c r="T147" s="81">
        <v>0.35416666666666669</v>
      </c>
      <c r="U147" s="1">
        <v>46025</v>
      </c>
      <c r="V147" t="s">
        <v>106</v>
      </c>
      <c r="W147" t="s">
        <v>112</v>
      </c>
      <c r="X147" s="77" t="s">
        <v>114</v>
      </c>
      <c r="Y147" t="s">
        <v>180</v>
      </c>
      <c r="AA147" s="77" t="s">
        <v>134</v>
      </c>
    </row>
    <row r="148" spans="1:28" x14ac:dyDescent="0.25">
      <c r="A148" t="s">
        <v>485</v>
      </c>
      <c r="B148" s="40">
        <v>3478912057643</v>
      </c>
      <c r="C148" t="s">
        <v>107</v>
      </c>
      <c r="D148" s="78">
        <f t="shared" si="4"/>
        <v>10687.920000000002</v>
      </c>
      <c r="E148" s="1">
        <v>46170</v>
      </c>
      <c r="F148" s="82">
        <v>0</v>
      </c>
      <c r="G148" s="84">
        <v>158.41999999999999</v>
      </c>
      <c r="H148" t="s">
        <v>162</v>
      </c>
      <c r="I148" t="s">
        <v>80</v>
      </c>
      <c r="J148" t="s">
        <v>109</v>
      </c>
      <c r="K148" t="s">
        <v>293</v>
      </c>
      <c r="N148" t="s">
        <v>131</v>
      </c>
      <c r="O148" t="s">
        <v>132</v>
      </c>
      <c r="P148">
        <v>75219</v>
      </c>
      <c r="T148" s="81"/>
      <c r="U148" s="1">
        <v>46083</v>
      </c>
      <c r="V148" t="s">
        <v>106</v>
      </c>
      <c r="W148" t="s">
        <v>112</v>
      </c>
      <c r="X148" s="77" t="s">
        <v>114</v>
      </c>
      <c r="Y148" t="s">
        <v>294</v>
      </c>
      <c r="Z148" t="s">
        <v>295</v>
      </c>
      <c r="AA148" s="77" t="s">
        <v>296</v>
      </c>
    </row>
    <row r="149" spans="1:28" x14ac:dyDescent="0.25">
      <c r="A149" t="s">
        <v>485</v>
      </c>
      <c r="B149" s="40">
        <v>3478912057643</v>
      </c>
      <c r="C149" t="s">
        <v>107</v>
      </c>
      <c r="D149" s="78">
        <f t="shared" si="4"/>
        <v>10607.930000000002</v>
      </c>
      <c r="E149" s="1">
        <v>46171</v>
      </c>
      <c r="F149" s="82">
        <v>0</v>
      </c>
      <c r="G149" s="84">
        <v>79.989999999999995</v>
      </c>
      <c r="H149" t="s">
        <v>162</v>
      </c>
      <c r="I149" t="s">
        <v>80</v>
      </c>
      <c r="J149" t="s">
        <v>109</v>
      </c>
      <c r="K149" t="s">
        <v>163</v>
      </c>
      <c r="N149" t="s">
        <v>131</v>
      </c>
      <c r="O149" t="s">
        <v>132</v>
      </c>
      <c r="P149">
        <v>75219</v>
      </c>
      <c r="T149" s="81"/>
      <c r="U149" s="1">
        <v>46086</v>
      </c>
      <c r="V149" t="s">
        <v>106</v>
      </c>
      <c r="W149" t="s">
        <v>112</v>
      </c>
      <c r="X149" s="77" t="s">
        <v>114</v>
      </c>
      <c r="Y149" t="s">
        <v>164</v>
      </c>
      <c r="Z149" t="s">
        <v>152</v>
      </c>
      <c r="AA149" s="77" t="s">
        <v>165</v>
      </c>
    </row>
    <row r="150" spans="1:28" x14ac:dyDescent="0.25">
      <c r="A150" t="s">
        <v>485</v>
      </c>
      <c r="B150" s="40">
        <v>3478912057643</v>
      </c>
      <c r="C150" t="s">
        <v>107</v>
      </c>
      <c r="D150" s="78">
        <f t="shared" si="4"/>
        <v>8910.7700000000023</v>
      </c>
      <c r="E150" s="1">
        <v>46175</v>
      </c>
      <c r="F150" s="82">
        <v>0</v>
      </c>
      <c r="G150" s="86">
        <v>1697.16</v>
      </c>
      <c r="H150" t="s">
        <v>79</v>
      </c>
      <c r="I150" t="s">
        <v>80</v>
      </c>
      <c r="J150" t="s">
        <v>109</v>
      </c>
      <c r="K150" t="s">
        <v>116</v>
      </c>
      <c r="T150" s="81">
        <v>0.67499999999999993</v>
      </c>
      <c r="U150" s="1">
        <v>46175</v>
      </c>
      <c r="V150" t="s">
        <v>106</v>
      </c>
      <c r="W150" t="s">
        <v>112</v>
      </c>
      <c r="X150" s="77" t="s">
        <v>114</v>
      </c>
      <c r="Y150" t="s">
        <v>219</v>
      </c>
      <c r="Z150" t="s">
        <v>160</v>
      </c>
      <c r="AA150" s="77" t="s">
        <v>220</v>
      </c>
    </row>
    <row r="151" spans="1:28" x14ac:dyDescent="0.25">
      <c r="A151" t="s">
        <v>485</v>
      </c>
      <c r="B151" s="40">
        <v>3478912057643</v>
      </c>
      <c r="C151" t="s">
        <v>107</v>
      </c>
      <c r="D151" s="78">
        <f t="shared" si="4"/>
        <v>9560.7700000000023</v>
      </c>
      <c r="E151" s="1">
        <v>46176</v>
      </c>
      <c r="F151" s="86">
        <v>650</v>
      </c>
      <c r="G151" s="82">
        <v>0</v>
      </c>
      <c r="H151" t="s">
        <v>108</v>
      </c>
      <c r="I151" t="s">
        <v>78</v>
      </c>
      <c r="J151" t="s">
        <v>109</v>
      </c>
      <c r="K151" t="s">
        <v>110</v>
      </c>
      <c r="T151" s="81">
        <v>0.71875</v>
      </c>
      <c r="U151" s="1">
        <v>45949</v>
      </c>
      <c r="V151" t="s">
        <v>255</v>
      </c>
      <c r="W151" t="s">
        <v>152</v>
      </c>
      <c r="X151" s="77" t="s">
        <v>324</v>
      </c>
      <c r="Y151" t="s">
        <v>106</v>
      </c>
      <c r="Z151" t="s">
        <v>112</v>
      </c>
      <c r="AA151" s="77" t="s">
        <v>114</v>
      </c>
    </row>
    <row r="152" spans="1:28" x14ac:dyDescent="0.25">
      <c r="A152" t="s">
        <v>485</v>
      </c>
      <c r="B152" s="40">
        <v>3478912057643</v>
      </c>
      <c r="C152" t="s">
        <v>107</v>
      </c>
      <c r="D152" s="78">
        <f t="shared" si="4"/>
        <v>7818.2800000000025</v>
      </c>
      <c r="E152" s="1">
        <v>46176</v>
      </c>
      <c r="F152" s="82">
        <v>0</v>
      </c>
      <c r="G152" s="86">
        <v>1742.49</v>
      </c>
      <c r="H152" t="s">
        <v>79</v>
      </c>
      <c r="I152" t="s">
        <v>80</v>
      </c>
      <c r="J152" t="s">
        <v>109</v>
      </c>
      <c r="K152" t="s">
        <v>116</v>
      </c>
      <c r="T152" s="81">
        <v>0.44166666666666665</v>
      </c>
      <c r="U152" s="1">
        <v>46176</v>
      </c>
      <c r="V152" t="s">
        <v>106</v>
      </c>
      <c r="W152" t="s">
        <v>112</v>
      </c>
      <c r="X152" s="77" t="s">
        <v>114</v>
      </c>
      <c r="Y152" t="s">
        <v>117</v>
      </c>
      <c r="Z152" t="s">
        <v>118</v>
      </c>
      <c r="AA152" s="77" t="s">
        <v>119</v>
      </c>
    </row>
    <row r="153" spans="1:28" x14ac:dyDescent="0.25">
      <c r="A153" t="s">
        <v>485</v>
      </c>
      <c r="B153" s="40">
        <v>3478912057643</v>
      </c>
      <c r="C153" t="s">
        <v>107</v>
      </c>
      <c r="D153" s="78">
        <f t="shared" si="4"/>
        <v>10268.280000000002</v>
      </c>
      <c r="E153" s="1">
        <v>46176</v>
      </c>
      <c r="F153" s="84">
        <v>2450</v>
      </c>
      <c r="G153" s="82">
        <v>0</v>
      </c>
      <c r="H153" t="s">
        <v>162</v>
      </c>
      <c r="I153" t="s">
        <v>78</v>
      </c>
      <c r="J153" t="s">
        <v>109</v>
      </c>
      <c r="K153" t="s">
        <v>181</v>
      </c>
      <c r="T153" s="81"/>
      <c r="U153" s="1">
        <v>46048</v>
      </c>
      <c r="V153" t="s">
        <v>56</v>
      </c>
      <c r="W153" t="s">
        <v>112</v>
      </c>
      <c r="X153" s="77" t="s">
        <v>325</v>
      </c>
      <c r="Y153" t="s">
        <v>106</v>
      </c>
      <c r="Z153" t="s">
        <v>112</v>
      </c>
      <c r="AA153" s="77" t="s">
        <v>114</v>
      </c>
    </row>
    <row r="154" spans="1:28" x14ac:dyDescent="0.25">
      <c r="A154" t="s">
        <v>485</v>
      </c>
      <c r="B154" s="40">
        <v>3478912057643</v>
      </c>
      <c r="C154" t="s">
        <v>107</v>
      </c>
      <c r="D154" s="78">
        <f t="shared" si="4"/>
        <v>10568.280000000002</v>
      </c>
      <c r="E154" s="1">
        <v>46177</v>
      </c>
      <c r="F154" s="86">
        <v>300</v>
      </c>
      <c r="G154" s="82">
        <v>0</v>
      </c>
      <c r="H154" t="s">
        <v>108</v>
      </c>
      <c r="I154" t="s">
        <v>78</v>
      </c>
      <c r="J154" t="s">
        <v>109</v>
      </c>
      <c r="K154" t="s">
        <v>110</v>
      </c>
      <c r="T154" s="81">
        <v>0.65625</v>
      </c>
      <c r="U154" s="1">
        <v>45871</v>
      </c>
      <c r="V154" t="s">
        <v>120</v>
      </c>
      <c r="W154" t="s">
        <v>152</v>
      </c>
      <c r="X154" s="77" t="s">
        <v>326</v>
      </c>
      <c r="Y154" t="s">
        <v>106</v>
      </c>
      <c r="Z154" t="s">
        <v>112</v>
      </c>
      <c r="AA154" s="77" t="s">
        <v>114</v>
      </c>
      <c r="AB154" t="s">
        <v>122</v>
      </c>
    </row>
    <row r="155" spans="1:28" x14ac:dyDescent="0.25">
      <c r="A155" t="s">
        <v>485</v>
      </c>
      <c r="B155" s="40">
        <v>3478912057643</v>
      </c>
      <c r="C155" t="s">
        <v>107</v>
      </c>
      <c r="D155" s="78">
        <f t="shared" si="4"/>
        <v>11343.280000000002</v>
      </c>
      <c r="E155" s="1">
        <v>46177</v>
      </c>
      <c r="F155" s="86">
        <v>775</v>
      </c>
      <c r="G155" s="82">
        <v>0</v>
      </c>
      <c r="H155" t="s">
        <v>108</v>
      </c>
      <c r="I155" t="s">
        <v>78</v>
      </c>
      <c r="J155" t="s">
        <v>109</v>
      </c>
      <c r="K155" t="s">
        <v>110</v>
      </c>
      <c r="T155" s="81">
        <v>0.47916666666666669</v>
      </c>
      <c r="U155" s="1">
        <v>45936</v>
      </c>
      <c r="V155" s="1" t="s">
        <v>201</v>
      </c>
      <c r="W155" t="s">
        <v>118</v>
      </c>
      <c r="X155" s="77" t="s">
        <v>327</v>
      </c>
      <c r="Y155" t="s">
        <v>106</v>
      </c>
      <c r="Z155" t="s">
        <v>112</v>
      </c>
      <c r="AA155" s="77" t="s">
        <v>114</v>
      </c>
    </row>
    <row r="156" spans="1:28" x14ac:dyDescent="0.25">
      <c r="A156" t="s">
        <v>485</v>
      </c>
      <c r="B156" s="40">
        <v>3478912057643</v>
      </c>
      <c r="C156" t="s">
        <v>107</v>
      </c>
      <c r="D156" s="78">
        <f t="shared" si="4"/>
        <v>11230.010000000002</v>
      </c>
      <c r="E156" s="1">
        <v>46177</v>
      </c>
      <c r="F156" s="82">
        <v>0</v>
      </c>
      <c r="G156" s="80">
        <v>113.27</v>
      </c>
      <c r="H156" t="s">
        <v>128</v>
      </c>
      <c r="I156" t="s">
        <v>80</v>
      </c>
      <c r="J156" t="s">
        <v>109</v>
      </c>
      <c r="K156" t="s">
        <v>241</v>
      </c>
      <c r="L156" t="s">
        <v>130</v>
      </c>
      <c r="N156" t="s">
        <v>131</v>
      </c>
      <c r="O156" t="s">
        <v>132</v>
      </c>
      <c r="P156">
        <v>75219</v>
      </c>
      <c r="S156" t="s">
        <v>328</v>
      </c>
      <c r="T156" s="81">
        <v>0.7416666666666667</v>
      </c>
      <c r="U156" s="1">
        <v>46059</v>
      </c>
      <c r="V156" t="s">
        <v>106</v>
      </c>
      <c r="W156" t="s">
        <v>112</v>
      </c>
      <c r="X156" s="77" t="s">
        <v>114</v>
      </c>
      <c r="Y156" t="s">
        <v>241</v>
      </c>
      <c r="AA156" s="77" t="s">
        <v>134</v>
      </c>
    </row>
    <row r="157" spans="1:28" x14ac:dyDescent="0.25">
      <c r="A157" t="s">
        <v>485</v>
      </c>
      <c r="B157" s="40">
        <v>3478912057643</v>
      </c>
      <c r="C157" t="s">
        <v>107</v>
      </c>
      <c r="D157" s="78">
        <f t="shared" si="4"/>
        <v>11185.830000000002</v>
      </c>
      <c r="E157" s="1">
        <v>46178</v>
      </c>
      <c r="F157" s="82">
        <v>0</v>
      </c>
      <c r="G157" s="80">
        <v>44.18</v>
      </c>
      <c r="H157" t="s">
        <v>128</v>
      </c>
      <c r="I157" t="s">
        <v>80</v>
      </c>
      <c r="J157" t="s">
        <v>109</v>
      </c>
      <c r="K157" t="s">
        <v>272</v>
      </c>
      <c r="L157" t="s">
        <v>130</v>
      </c>
      <c r="N157" t="s">
        <v>131</v>
      </c>
      <c r="O157" t="s">
        <v>132</v>
      </c>
      <c r="P157">
        <v>75219</v>
      </c>
      <c r="S157" t="s">
        <v>329</v>
      </c>
      <c r="T157" s="81">
        <v>0.35416666666666669</v>
      </c>
      <c r="U157" s="1">
        <v>46057</v>
      </c>
      <c r="V157" t="s">
        <v>106</v>
      </c>
      <c r="W157" t="s">
        <v>112</v>
      </c>
      <c r="X157" s="77" t="s">
        <v>114</v>
      </c>
      <c r="Y157" t="s">
        <v>272</v>
      </c>
      <c r="AA157" s="77" t="s">
        <v>134</v>
      </c>
    </row>
    <row r="158" spans="1:28" x14ac:dyDescent="0.25">
      <c r="A158" t="s">
        <v>485</v>
      </c>
      <c r="B158" s="40">
        <v>3478912057643</v>
      </c>
      <c r="C158" t="s">
        <v>107</v>
      </c>
      <c r="D158" s="78">
        <f t="shared" si="4"/>
        <v>9447.840000000002</v>
      </c>
      <c r="E158" s="1">
        <v>46181</v>
      </c>
      <c r="F158" s="82">
        <v>0</v>
      </c>
      <c r="G158" s="86">
        <v>1737.99</v>
      </c>
      <c r="H158" t="s">
        <v>79</v>
      </c>
      <c r="I158" t="s">
        <v>80</v>
      </c>
      <c r="J158" t="s">
        <v>109</v>
      </c>
      <c r="K158" t="s">
        <v>116</v>
      </c>
      <c r="T158" s="81">
        <v>0.47500000000000003</v>
      </c>
      <c r="U158" s="1">
        <v>46181</v>
      </c>
      <c r="V158" t="s">
        <v>106</v>
      </c>
      <c r="W158" t="s">
        <v>112</v>
      </c>
      <c r="X158" s="77" t="s">
        <v>114</v>
      </c>
      <c r="Y158" t="s">
        <v>156</v>
      </c>
      <c r="Z158" t="s">
        <v>152</v>
      </c>
      <c r="AA158" s="77" t="s">
        <v>157</v>
      </c>
    </row>
    <row r="159" spans="1:28" x14ac:dyDescent="0.25">
      <c r="A159" t="s">
        <v>485</v>
      </c>
      <c r="B159" s="40">
        <v>3478912057643</v>
      </c>
      <c r="C159" t="s">
        <v>107</v>
      </c>
      <c r="D159" s="78">
        <f t="shared" si="4"/>
        <v>10097.840000000002</v>
      </c>
      <c r="E159" s="1">
        <v>46183</v>
      </c>
      <c r="F159" s="86">
        <v>650</v>
      </c>
      <c r="G159" s="82">
        <v>0</v>
      </c>
      <c r="H159" t="s">
        <v>108</v>
      </c>
      <c r="I159" t="s">
        <v>78</v>
      </c>
      <c r="J159" t="s">
        <v>109</v>
      </c>
      <c r="K159" t="s">
        <v>110</v>
      </c>
      <c r="T159" s="81">
        <v>0.54166666666666663</v>
      </c>
      <c r="U159" s="1">
        <v>45915</v>
      </c>
      <c r="V159" t="s">
        <v>111</v>
      </c>
      <c r="W159" t="s">
        <v>160</v>
      </c>
      <c r="X159" s="77" t="s">
        <v>330</v>
      </c>
      <c r="Y159" t="s">
        <v>106</v>
      </c>
      <c r="Z159" t="s">
        <v>112</v>
      </c>
      <c r="AA159" s="77" t="s">
        <v>114</v>
      </c>
      <c r="AB159" t="s">
        <v>115</v>
      </c>
    </row>
    <row r="160" spans="1:28" x14ac:dyDescent="0.25">
      <c r="A160" t="s">
        <v>485</v>
      </c>
      <c r="B160" s="40">
        <v>3478912057643</v>
      </c>
      <c r="C160" t="s">
        <v>107</v>
      </c>
      <c r="D160" s="78">
        <f t="shared" si="4"/>
        <v>10522.840000000002</v>
      </c>
      <c r="E160" s="1">
        <v>46183</v>
      </c>
      <c r="F160" s="86">
        <v>425</v>
      </c>
      <c r="G160" s="82">
        <v>0</v>
      </c>
      <c r="H160" t="s">
        <v>108</v>
      </c>
      <c r="I160" t="s">
        <v>78</v>
      </c>
      <c r="J160" t="s">
        <v>109</v>
      </c>
      <c r="K160" t="s">
        <v>110</v>
      </c>
      <c r="T160" s="81">
        <v>0.71875</v>
      </c>
      <c r="U160" s="1">
        <v>45916</v>
      </c>
      <c r="V160" t="s">
        <v>176</v>
      </c>
      <c r="W160" t="s">
        <v>126</v>
      </c>
      <c r="X160" s="77" t="s">
        <v>331</v>
      </c>
      <c r="Y160" t="s">
        <v>106</v>
      </c>
      <c r="Z160" t="s">
        <v>112</v>
      </c>
      <c r="AA160" s="77" t="s">
        <v>114</v>
      </c>
    </row>
    <row r="161" spans="1:28" x14ac:dyDescent="0.25">
      <c r="A161" t="s">
        <v>485</v>
      </c>
      <c r="B161" s="40">
        <v>3478912057643</v>
      </c>
      <c r="C161" t="s">
        <v>107</v>
      </c>
      <c r="D161" s="78">
        <f t="shared" si="4"/>
        <v>10972.840000000002</v>
      </c>
      <c r="E161" s="1">
        <v>46183</v>
      </c>
      <c r="F161" s="86">
        <v>450</v>
      </c>
      <c r="G161" s="82">
        <v>0</v>
      </c>
      <c r="H161" t="s">
        <v>108</v>
      </c>
      <c r="I161" t="s">
        <v>78</v>
      </c>
      <c r="J161" t="s">
        <v>109</v>
      </c>
      <c r="K161" t="s">
        <v>110</v>
      </c>
      <c r="T161" s="81">
        <v>0.71875</v>
      </c>
      <c r="U161" s="1">
        <v>45938</v>
      </c>
      <c r="V161" t="s">
        <v>245</v>
      </c>
      <c r="W161" t="s">
        <v>160</v>
      </c>
      <c r="X161" s="77" t="s">
        <v>332</v>
      </c>
      <c r="Y161" t="s">
        <v>106</v>
      </c>
      <c r="Z161" t="s">
        <v>112</v>
      </c>
      <c r="AA161" s="77" t="s">
        <v>114</v>
      </c>
    </row>
    <row r="162" spans="1:28" x14ac:dyDescent="0.25">
      <c r="A162" t="s">
        <v>485</v>
      </c>
      <c r="B162" s="40">
        <v>3478912057643</v>
      </c>
      <c r="C162" t="s">
        <v>107</v>
      </c>
      <c r="D162" s="78">
        <f t="shared" si="4"/>
        <v>11772.840000000002</v>
      </c>
      <c r="E162" s="1">
        <v>46184</v>
      </c>
      <c r="F162" s="86">
        <v>800</v>
      </c>
      <c r="G162" s="82">
        <v>0</v>
      </c>
      <c r="H162" t="s">
        <v>108</v>
      </c>
      <c r="I162" t="s">
        <v>78</v>
      </c>
      <c r="J162" t="s">
        <v>109</v>
      </c>
      <c r="K162" t="s">
        <v>110</v>
      </c>
      <c r="T162" s="81">
        <v>0.47916666666666669</v>
      </c>
      <c r="U162" s="1">
        <v>45881</v>
      </c>
      <c r="V162" s="1" t="s">
        <v>268</v>
      </c>
      <c r="W162" t="s">
        <v>126</v>
      </c>
      <c r="X162" s="77" t="s">
        <v>333</v>
      </c>
      <c r="Y162" t="s">
        <v>106</v>
      </c>
      <c r="Z162" t="s">
        <v>112</v>
      </c>
      <c r="AA162" s="77" t="s">
        <v>114</v>
      </c>
    </row>
    <row r="163" spans="1:28" x14ac:dyDescent="0.25">
      <c r="A163" t="s">
        <v>485</v>
      </c>
      <c r="B163" s="40">
        <v>3478912057643</v>
      </c>
      <c r="C163" t="s">
        <v>107</v>
      </c>
      <c r="D163" s="78">
        <f t="shared" ref="D163:D177" si="5">D162+F163-G163</f>
        <v>10027.050000000003</v>
      </c>
      <c r="E163" s="1">
        <v>46184</v>
      </c>
      <c r="F163" s="82">
        <v>0</v>
      </c>
      <c r="G163" s="86">
        <v>1745.79</v>
      </c>
      <c r="H163" t="s">
        <v>79</v>
      </c>
      <c r="I163" t="s">
        <v>80</v>
      </c>
      <c r="J163" t="s">
        <v>109</v>
      </c>
      <c r="K163" t="s">
        <v>116</v>
      </c>
      <c r="T163" s="81">
        <v>0.60833333333333339</v>
      </c>
      <c r="U163" s="1">
        <v>46184</v>
      </c>
      <c r="V163" t="s">
        <v>106</v>
      </c>
      <c r="W163" t="s">
        <v>112</v>
      </c>
      <c r="X163" s="77" t="s">
        <v>114</v>
      </c>
      <c r="Y163" t="s">
        <v>117</v>
      </c>
      <c r="Z163" t="s">
        <v>118</v>
      </c>
      <c r="AA163" s="77" t="s">
        <v>119</v>
      </c>
    </row>
    <row r="164" spans="1:28" x14ac:dyDescent="0.25">
      <c r="A164" t="s">
        <v>485</v>
      </c>
      <c r="B164" s="40">
        <v>3478912057643</v>
      </c>
      <c r="C164" t="s">
        <v>107</v>
      </c>
      <c r="D164" s="78">
        <f t="shared" si="5"/>
        <v>10627.050000000003</v>
      </c>
      <c r="E164" s="1">
        <v>46185</v>
      </c>
      <c r="F164" s="86">
        <v>600</v>
      </c>
      <c r="G164" s="82">
        <v>0</v>
      </c>
      <c r="H164" t="s">
        <v>108</v>
      </c>
      <c r="I164" t="s">
        <v>78</v>
      </c>
      <c r="J164" t="s">
        <v>109</v>
      </c>
      <c r="K164" t="s">
        <v>110</v>
      </c>
      <c r="T164" s="81">
        <v>0.65625</v>
      </c>
      <c r="U164" s="1">
        <v>45992</v>
      </c>
      <c r="V164" t="s">
        <v>217</v>
      </c>
      <c r="W164" t="s">
        <v>160</v>
      </c>
      <c r="X164" s="77" t="s">
        <v>334</v>
      </c>
      <c r="Y164" t="s">
        <v>106</v>
      </c>
      <c r="Z164" t="s">
        <v>112</v>
      </c>
      <c r="AA164" s="77" t="s">
        <v>114</v>
      </c>
      <c r="AB164" t="s">
        <v>122</v>
      </c>
    </row>
    <row r="165" spans="1:28" x14ac:dyDescent="0.25">
      <c r="A165" t="s">
        <v>485</v>
      </c>
      <c r="B165" s="40">
        <v>3478912057643</v>
      </c>
      <c r="C165" t="s">
        <v>107</v>
      </c>
      <c r="D165" s="78">
        <f t="shared" si="5"/>
        <v>11402.050000000003</v>
      </c>
      <c r="E165" s="1">
        <v>46188</v>
      </c>
      <c r="F165" s="86">
        <v>775</v>
      </c>
      <c r="G165" s="82">
        <v>0</v>
      </c>
      <c r="H165" t="s">
        <v>108</v>
      </c>
      <c r="I165" t="s">
        <v>78</v>
      </c>
      <c r="J165" t="s">
        <v>109</v>
      </c>
      <c r="K165" t="s">
        <v>110</v>
      </c>
      <c r="T165" s="81">
        <v>0.71875</v>
      </c>
      <c r="U165" s="1">
        <v>45905</v>
      </c>
      <c r="V165" t="s">
        <v>255</v>
      </c>
      <c r="W165" t="s">
        <v>118</v>
      </c>
      <c r="X165" s="77" t="s">
        <v>335</v>
      </c>
      <c r="Y165" t="s">
        <v>106</v>
      </c>
      <c r="Z165" t="s">
        <v>112</v>
      </c>
      <c r="AA165" s="77" t="s">
        <v>114</v>
      </c>
    </row>
    <row r="166" spans="1:28" x14ac:dyDescent="0.25">
      <c r="A166" t="s">
        <v>485</v>
      </c>
      <c r="B166" s="40">
        <v>3478912057643</v>
      </c>
      <c r="C166" t="s">
        <v>107</v>
      </c>
      <c r="D166" s="78">
        <f t="shared" si="5"/>
        <v>11349.320000000003</v>
      </c>
      <c r="E166" s="1">
        <v>46188</v>
      </c>
      <c r="F166" s="82">
        <v>0</v>
      </c>
      <c r="G166" s="80">
        <v>52.73</v>
      </c>
      <c r="H166" t="s">
        <v>128</v>
      </c>
      <c r="I166" t="s">
        <v>80</v>
      </c>
      <c r="J166" t="s">
        <v>109</v>
      </c>
      <c r="K166" t="s">
        <v>178</v>
      </c>
      <c r="L166" t="s">
        <v>130</v>
      </c>
      <c r="N166" t="s">
        <v>131</v>
      </c>
      <c r="O166" t="s">
        <v>132</v>
      </c>
      <c r="P166">
        <v>75219</v>
      </c>
      <c r="S166" t="s">
        <v>336</v>
      </c>
      <c r="T166" s="81">
        <v>0.37916666666666665</v>
      </c>
      <c r="U166" s="1">
        <v>46064</v>
      </c>
      <c r="V166" t="s">
        <v>106</v>
      </c>
      <c r="W166" t="s">
        <v>112</v>
      </c>
      <c r="X166" s="77" t="s">
        <v>114</v>
      </c>
      <c r="Y166" t="s">
        <v>180</v>
      </c>
      <c r="AA166" s="77" t="s">
        <v>134</v>
      </c>
    </row>
    <row r="167" spans="1:28" x14ac:dyDescent="0.25">
      <c r="A167" t="s">
        <v>485</v>
      </c>
      <c r="B167" s="40">
        <v>3478912057643</v>
      </c>
      <c r="C167" t="s">
        <v>107</v>
      </c>
      <c r="D167" s="78">
        <f t="shared" si="5"/>
        <v>11799.320000000003</v>
      </c>
      <c r="E167" s="1">
        <v>46189</v>
      </c>
      <c r="F167" s="86">
        <v>450</v>
      </c>
      <c r="G167" s="82">
        <v>0</v>
      </c>
      <c r="H167" t="s">
        <v>108</v>
      </c>
      <c r="I167" t="s">
        <v>78</v>
      </c>
      <c r="J167" t="s">
        <v>109</v>
      </c>
      <c r="K167" t="s">
        <v>110</v>
      </c>
      <c r="T167" s="81">
        <v>0.65625</v>
      </c>
      <c r="U167" s="1">
        <v>46003</v>
      </c>
      <c r="V167" t="s">
        <v>120</v>
      </c>
      <c r="W167" t="s">
        <v>152</v>
      </c>
      <c r="X167" s="77" t="s">
        <v>337</v>
      </c>
      <c r="Y167" t="s">
        <v>106</v>
      </c>
      <c r="Z167" t="s">
        <v>112</v>
      </c>
      <c r="AA167" s="77" t="s">
        <v>114</v>
      </c>
      <c r="AB167" t="s">
        <v>122</v>
      </c>
    </row>
    <row r="168" spans="1:28" x14ac:dyDescent="0.25">
      <c r="A168" t="s">
        <v>485</v>
      </c>
      <c r="B168" s="40">
        <v>3478912057643</v>
      </c>
      <c r="C168" t="s">
        <v>107</v>
      </c>
      <c r="D168" s="78">
        <f t="shared" si="5"/>
        <v>11771.920000000004</v>
      </c>
      <c r="E168" s="1">
        <v>46190</v>
      </c>
      <c r="F168" s="82">
        <v>0</v>
      </c>
      <c r="G168" s="80">
        <v>27.4</v>
      </c>
      <c r="H168" t="s">
        <v>128</v>
      </c>
      <c r="I168" t="s">
        <v>80</v>
      </c>
      <c r="J168" t="s">
        <v>109</v>
      </c>
      <c r="K168" t="s">
        <v>215</v>
      </c>
      <c r="L168" t="s">
        <v>130</v>
      </c>
      <c r="N168" t="s">
        <v>131</v>
      </c>
      <c r="O168" t="s">
        <v>132</v>
      </c>
      <c r="T168" s="81">
        <v>0.59375</v>
      </c>
      <c r="U168" s="1">
        <v>46026</v>
      </c>
      <c r="V168" t="s">
        <v>106</v>
      </c>
      <c r="W168" t="s">
        <v>112</v>
      </c>
      <c r="X168" s="77" t="s">
        <v>114</v>
      </c>
      <c r="Y168" t="s">
        <v>215</v>
      </c>
      <c r="AA168" s="77" t="s">
        <v>134</v>
      </c>
    </row>
    <row r="169" spans="1:28" x14ac:dyDescent="0.25">
      <c r="A169" t="s">
        <v>485</v>
      </c>
      <c r="B169" s="40">
        <v>3478912057643</v>
      </c>
      <c r="C169" t="s">
        <v>107</v>
      </c>
      <c r="D169" s="78">
        <f t="shared" si="5"/>
        <v>10089.550000000003</v>
      </c>
      <c r="E169" s="1">
        <v>46191</v>
      </c>
      <c r="F169" s="82">
        <v>0</v>
      </c>
      <c r="G169" s="86">
        <v>1682.37</v>
      </c>
      <c r="H169" t="s">
        <v>79</v>
      </c>
      <c r="I169" t="s">
        <v>80</v>
      </c>
      <c r="J169" t="s">
        <v>109</v>
      </c>
      <c r="K169" t="s">
        <v>116</v>
      </c>
      <c r="T169" s="81">
        <v>0.54166666666666663</v>
      </c>
      <c r="U169" s="1">
        <v>46191</v>
      </c>
      <c r="V169" t="s">
        <v>106</v>
      </c>
      <c r="W169" t="s">
        <v>112</v>
      </c>
      <c r="X169" s="77" t="s">
        <v>114</v>
      </c>
      <c r="Y169" t="s">
        <v>125</v>
      </c>
      <c r="Z169" t="s">
        <v>126</v>
      </c>
      <c r="AA169" s="77" t="s">
        <v>127</v>
      </c>
    </row>
    <row r="170" spans="1:28" x14ac:dyDescent="0.25">
      <c r="A170" t="s">
        <v>485</v>
      </c>
      <c r="B170" s="40">
        <v>3478912057643</v>
      </c>
      <c r="C170" t="s">
        <v>107</v>
      </c>
      <c r="D170" s="78">
        <f t="shared" si="5"/>
        <v>10564.550000000003</v>
      </c>
      <c r="E170" s="1">
        <v>46192</v>
      </c>
      <c r="F170" s="86">
        <v>475</v>
      </c>
      <c r="G170" s="82">
        <v>0</v>
      </c>
      <c r="H170" t="s">
        <v>108</v>
      </c>
      <c r="I170" t="s">
        <v>78</v>
      </c>
      <c r="J170" t="s">
        <v>109</v>
      </c>
      <c r="K170" t="s">
        <v>110</v>
      </c>
      <c r="T170" s="81">
        <v>0.47916666666666669</v>
      </c>
      <c r="U170" s="1">
        <v>45914</v>
      </c>
      <c r="V170" t="s">
        <v>199</v>
      </c>
      <c r="W170" t="s">
        <v>152</v>
      </c>
      <c r="X170" s="77" t="s">
        <v>338</v>
      </c>
      <c r="Y170" t="s">
        <v>106</v>
      </c>
      <c r="Z170" t="s">
        <v>112</v>
      </c>
      <c r="AA170" s="77" t="s">
        <v>114</v>
      </c>
    </row>
    <row r="171" spans="1:28" x14ac:dyDescent="0.25">
      <c r="A171" t="s">
        <v>485</v>
      </c>
      <c r="B171" s="40">
        <v>3478912057643</v>
      </c>
      <c r="C171" t="s">
        <v>107</v>
      </c>
      <c r="D171" s="78">
        <f t="shared" si="5"/>
        <v>11114.550000000003</v>
      </c>
      <c r="E171" s="1">
        <v>46195</v>
      </c>
      <c r="F171" s="86">
        <v>550</v>
      </c>
      <c r="G171" s="82">
        <v>0</v>
      </c>
      <c r="H171" t="s">
        <v>108</v>
      </c>
      <c r="I171" t="s">
        <v>78</v>
      </c>
      <c r="J171" t="s">
        <v>109</v>
      </c>
      <c r="K171" t="s">
        <v>110</v>
      </c>
      <c r="T171" s="81">
        <v>0.71875</v>
      </c>
      <c r="U171" s="1">
        <v>45872</v>
      </c>
      <c r="V171" s="1" t="s">
        <v>176</v>
      </c>
      <c r="W171" t="s">
        <v>160</v>
      </c>
      <c r="X171" s="77" t="s">
        <v>339</v>
      </c>
      <c r="Y171" t="s">
        <v>106</v>
      </c>
      <c r="Z171" t="s">
        <v>112</v>
      </c>
      <c r="AA171" s="77" t="s">
        <v>114</v>
      </c>
    </row>
    <row r="172" spans="1:28" x14ac:dyDescent="0.25">
      <c r="A172" t="s">
        <v>485</v>
      </c>
      <c r="B172" s="40">
        <v>3478912057643</v>
      </c>
      <c r="C172" t="s">
        <v>107</v>
      </c>
      <c r="D172" s="78">
        <f t="shared" si="5"/>
        <v>11339.550000000003</v>
      </c>
      <c r="E172" s="1">
        <v>46195</v>
      </c>
      <c r="F172" s="86">
        <v>225</v>
      </c>
      <c r="G172" s="82">
        <v>0</v>
      </c>
      <c r="H172" t="s">
        <v>108</v>
      </c>
      <c r="I172" t="s">
        <v>78</v>
      </c>
      <c r="J172" t="s">
        <v>109</v>
      </c>
      <c r="K172" t="s">
        <v>110</v>
      </c>
      <c r="T172" s="81">
        <v>0.54166666666666663</v>
      </c>
      <c r="U172" s="1">
        <v>45926</v>
      </c>
      <c r="V172" t="s">
        <v>185</v>
      </c>
      <c r="W172" t="s">
        <v>152</v>
      </c>
      <c r="X172" s="77" t="s">
        <v>340</v>
      </c>
      <c r="Y172" t="s">
        <v>106</v>
      </c>
      <c r="Z172" t="s">
        <v>112</v>
      </c>
      <c r="AA172" s="77" t="s">
        <v>114</v>
      </c>
      <c r="AB172" t="s">
        <v>115</v>
      </c>
    </row>
    <row r="173" spans="1:28" x14ac:dyDescent="0.25">
      <c r="A173" t="s">
        <v>485</v>
      </c>
      <c r="B173" s="40">
        <v>3478912057643</v>
      </c>
      <c r="C173" t="s">
        <v>107</v>
      </c>
      <c r="D173" s="78">
        <f t="shared" si="5"/>
        <v>11243.170000000004</v>
      </c>
      <c r="E173" s="1">
        <v>46197</v>
      </c>
      <c r="F173" s="82">
        <v>0</v>
      </c>
      <c r="G173" s="80">
        <v>96.38</v>
      </c>
      <c r="H173" t="s">
        <v>128</v>
      </c>
      <c r="I173" t="s">
        <v>80</v>
      </c>
      <c r="J173" t="s">
        <v>109</v>
      </c>
      <c r="K173" t="s">
        <v>166</v>
      </c>
      <c r="L173" t="s">
        <v>130</v>
      </c>
      <c r="N173" t="s">
        <v>131</v>
      </c>
      <c r="O173" t="s">
        <v>132</v>
      </c>
      <c r="P173">
        <v>75219</v>
      </c>
      <c r="S173" t="s">
        <v>341</v>
      </c>
      <c r="T173" s="81">
        <v>0.47500000000000003</v>
      </c>
      <c r="U173" s="1">
        <v>46067</v>
      </c>
      <c r="V173" t="s">
        <v>106</v>
      </c>
      <c r="W173" t="s">
        <v>112</v>
      </c>
      <c r="X173" s="77" t="s">
        <v>114</v>
      </c>
      <c r="Y173" t="s">
        <v>166</v>
      </c>
      <c r="AA173" s="77" t="s">
        <v>134</v>
      </c>
    </row>
    <row r="174" spans="1:28" x14ac:dyDescent="0.25">
      <c r="A174" t="s">
        <v>485</v>
      </c>
      <c r="B174" s="40">
        <v>3478912057643</v>
      </c>
      <c r="C174" t="s">
        <v>107</v>
      </c>
      <c r="D174" s="78">
        <f t="shared" si="5"/>
        <v>11178.970000000003</v>
      </c>
      <c r="E174" s="1">
        <v>46199</v>
      </c>
      <c r="F174" s="82">
        <v>0</v>
      </c>
      <c r="G174" s="80">
        <v>64.2</v>
      </c>
      <c r="H174" t="s">
        <v>128</v>
      </c>
      <c r="I174" t="s">
        <v>80</v>
      </c>
      <c r="J174" t="s">
        <v>109</v>
      </c>
      <c r="K174" t="s">
        <v>192</v>
      </c>
      <c r="L174" t="s">
        <v>130</v>
      </c>
      <c r="N174" t="s">
        <v>131</v>
      </c>
      <c r="O174" t="s">
        <v>132</v>
      </c>
      <c r="T174" s="81">
        <v>0.8125</v>
      </c>
      <c r="U174" s="1">
        <v>46034</v>
      </c>
      <c r="V174" t="s">
        <v>106</v>
      </c>
      <c r="W174" t="s">
        <v>112</v>
      </c>
      <c r="X174" s="77" t="s">
        <v>114</v>
      </c>
      <c r="Y174" t="s">
        <v>192</v>
      </c>
      <c r="AA174" s="77" t="s">
        <v>134</v>
      </c>
    </row>
    <row r="175" spans="1:28" x14ac:dyDescent="0.25">
      <c r="A175" t="s">
        <v>485</v>
      </c>
      <c r="B175" s="40">
        <v>3478912057643</v>
      </c>
      <c r="C175" t="s">
        <v>107</v>
      </c>
      <c r="D175" s="78">
        <f t="shared" si="5"/>
        <v>9728.970000000003</v>
      </c>
      <c r="E175" s="1">
        <v>46201</v>
      </c>
      <c r="F175" s="82">
        <v>0</v>
      </c>
      <c r="G175" s="84">
        <v>1450</v>
      </c>
      <c r="H175" t="s">
        <v>162</v>
      </c>
      <c r="I175" t="s">
        <v>80</v>
      </c>
      <c r="J175" t="s">
        <v>109</v>
      </c>
      <c r="K175" t="s">
        <v>194</v>
      </c>
      <c r="N175" t="s">
        <v>131</v>
      </c>
      <c r="O175" t="s">
        <v>132</v>
      </c>
      <c r="P175">
        <v>75219</v>
      </c>
      <c r="T175" s="81"/>
      <c r="U175" s="1">
        <v>46082</v>
      </c>
      <c r="V175" t="s">
        <v>106</v>
      </c>
      <c r="W175" t="s">
        <v>112</v>
      </c>
      <c r="X175" s="77" t="s">
        <v>114</v>
      </c>
      <c r="Y175" t="s">
        <v>195</v>
      </c>
      <c r="Z175" t="s">
        <v>126</v>
      </c>
      <c r="AA175" s="77" t="s">
        <v>196</v>
      </c>
    </row>
    <row r="176" spans="1:28" x14ac:dyDescent="0.25">
      <c r="A176" t="s">
        <v>485</v>
      </c>
      <c r="B176" s="40">
        <v>3478912057643</v>
      </c>
      <c r="C176" t="s">
        <v>107</v>
      </c>
      <c r="D176" s="78">
        <f t="shared" si="5"/>
        <v>9559.1200000000026</v>
      </c>
      <c r="E176" s="1">
        <v>46202</v>
      </c>
      <c r="F176" s="82">
        <v>0</v>
      </c>
      <c r="G176" s="84">
        <v>169.85</v>
      </c>
      <c r="H176" t="s">
        <v>162</v>
      </c>
      <c r="I176" t="s">
        <v>80</v>
      </c>
      <c r="J176" t="s">
        <v>109</v>
      </c>
      <c r="K176" t="s">
        <v>293</v>
      </c>
      <c r="N176" t="s">
        <v>131</v>
      </c>
      <c r="O176" t="s">
        <v>132</v>
      </c>
      <c r="P176">
        <v>75219</v>
      </c>
      <c r="T176" s="81"/>
      <c r="U176" s="1">
        <v>46055</v>
      </c>
      <c r="V176" t="s">
        <v>106</v>
      </c>
      <c r="W176" t="s">
        <v>112</v>
      </c>
      <c r="X176" s="77" t="s">
        <v>114</v>
      </c>
      <c r="Y176" t="s">
        <v>294</v>
      </c>
      <c r="Z176" t="s">
        <v>295</v>
      </c>
      <c r="AA176" s="77" t="s">
        <v>296</v>
      </c>
    </row>
    <row r="177" spans="1:27" x14ac:dyDescent="0.25">
      <c r="A177" t="s">
        <v>485</v>
      </c>
      <c r="B177" s="40">
        <v>3478912057643</v>
      </c>
      <c r="C177" t="s">
        <v>107</v>
      </c>
      <c r="D177" s="78">
        <f t="shared" si="5"/>
        <v>9484.6200000000026</v>
      </c>
      <c r="E177" s="1">
        <v>46202</v>
      </c>
      <c r="F177" s="82">
        <v>0</v>
      </c>
      <c r="G177" s="84">
        <v>74.5</v>
      </c>
      <c r="H177" t="s">
        <v>162</v>
      </c>
      <c r="I177" t="s">
        <v>80</v>
      </c>
      <c r="J177" t="s">
        <v>109</v>
      </c>
      <c r="K177" t="s">
        <v>247</v>
      </c>
      <c r="N177" t="s">
        <v>131</v>
      </c>
      <c r="O177" t="s">
        <v>132</v>
      </c>
      <c r="P177">
        <v>75219</v>
      </c>
      <c r="T177" s="81"/>
      <c r="U177" s="1">
        <v>46042</v>
      </c>
      <c r="V177" t="s">
        <v>106</v>
      </c>
      <c r="W177" t="s">
        <v>112</v>
      </c>
      <c r="X177" s="77" t="s">
        <v>114</v>
      </c>
      <c r="Y177" t="s">
        <v>248</v>
      </c>
      <c r="Z177" t="s">
        <v>152</v>
      </c>
      <c r="AA177" s="77" t="s">
        <v>249</v>
      </c>
    </row>
    <row r="178" spans="1:27" x14ac:dyDescent="0.25">
      <c r="E178" s="1"/>
      <c r="U178" s="1"/>
    </row>
    <row r="179" spans="1:27" x14ac:dyDescent="0.25">
      <c r="E179" s="1"/>
      <c r="F179" s="79">
        <f>SUBTOTAL(9,F2:F177)</f>
        <v>87400</v>
      </c>
      <c r="G179" s="79">
        <f>SUBTOTAL(9,G2:G177)</f>
        <v>80124.37999999999</v>
      </c>
      <c r="H179" s="57"/>
      <c r="U179" s="1"/>
    </row>
    <row r="180" spans="1:27" x14ac:dyDescent="0.25">
      <c r="E180" s="1"/>
      <c r="U180" s="1"/>
    </row>
    <row r="181" spans="1:27" x14ac:dyDescent="0.25">
      <c r="E181" s="1"/>
      <c r="U181" s="1"/>
    </row>
    <row r="182" spans="1:27" x14ac:dyDescent="0.25">
      <c r="E182" s="1"/>
      <c r="U182" s="1"/>
    </row>
    <row r="183" spans="1:27" x14ac:dyDescent="0.25">
      <c r="E183" s="1"/>
      <c r="U183" s="1"/>
    </row>
    <row r="184" spans="1:27" x14ac:dyDescent="0.25">
      <c r="E184" s="1"/>
      <c r="U184" s="1"/>
    </row>
    <row r="185" spans="1:27" x14ac:dyDescent="0.25">
      <c r="E185" s="1"/>
      <c r="U185" s="1"/>
    </row>
    <row r="186" spans="1:27" x14ac:dyDescent="0.25">
      <c r="E186" s="1"/>
      <c r="U186" s="1"/>
    </row>
    <row r="187" spans="1:27" x14ac:dyDescent="0.25">
      <c r="E187" s="1"/>
      <c r="U187" s="1"/>
    </row>
    <row r="188" spans="1:27" x14ac:dyDescent="0.25">
      <c r="E188" s="1"/>
      <c r="U188" s="1"/>
    </row>
    <row r="189" spans="1:27" x14ac:dyDescent="0.25">
      <c r="E189" s="1"/>
      <c r="U189" s="1"/>
    </row>
    <row r="190" spans="1:27" x14ac:dyDescent="0.25">
      <c r="E190" s="1"/>
      <c r="U190" s="1"/>
    </row>
    <row r="191" spans="1:27" x14ac:dyDescent="0.25">
      <c r="E191" s="1"/>
      <c r="U191" s="1"/>
    </row>
    <row r="192" spans="1:27" x14ac:dyDescent="0.25">
      <c r="E192" s="1"/>
      <c r="U192" s="1"/>
    </row>
    <row r="193" spans="5:21" x14ac:dyDescent="0.25">
      <c r="E193" s="1"/>
      <c r="U193" s="1"/>
    </row>
    <row r="194" spans="5:21" x14ac:dyDescent="0.25">
      <c r="E194" s="1"/>
      <c r="U194" s="1"/>
    </row>
    <row r="195" spans="5:21" x14ac:dyDescent="0.25">
      <c r="E195" s="1"/>
      <c r="U195" s="1"/>
    </row>
    <row r="196" spans="5:21" x14ac:dyDescent="0.25">
      <c r="E196" s="1"/>
      <c r="U196" s="1"/>
    </row>
    <row r="197" spans="5:21" x14ac:dyDescent="0.25">
      <c r="E197" s="1"/>
      <c r="U197" s="1"/>
    </row>
    <row r="198" spans="5:21" x14ac:dyDescent="0.25">
      <c r="E198" s="1"/>
      <c r="U198" s="1"/>
    </row>
    <row r="199" spans="5:21" x14ac:dyDescent="0.25">
      <c r="E199" s="1"/>
      <c r="U199" s="1"/>
    </row>
    <row r="200" spans="5:21" x14ac:dyDescent="0.25">
      <c r="E200" s="1"/>
      <c r="U200" s="1"/>
    </row>
    <row r="201" spans="5:21" x14ac:dyDescent="0.25">
      <c r="E201" s="1"/>
      <c r="U201" s="1"/>
    </row>
    <row r="202" spans="5:21" x14ac:dyDescent="0.25">
      <c r="E202" s="1"/>
      <c r="U202" s="1"/>
    </row>
    <row r="203" spans="5:21" x14ac:dyDescent="0.25">
      <c r="E203" s="1"/>
      <c r="U203" s="1"/>
    </row>
    <row r="204" spans="5:21" x14ac:dyDescent="0.25">
      <c r="E204" s="1"/>
      <c r="U204" s="1"/>
    </row>
    <row r="205" spans="5:21" x14ac:dyDescent="0.25">
      <c r="E205" s="1"/>
      <c r="U205" s="1"/>
    </row>
  </sheetData>
  <autoFilter ref="A1:AB177" xr:uid="{5611D810-DAFA-4F31-B6DD-45D854AF5F85}"/>
  <phoneticPr fontId="15"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B43F7-DA21-4B8B-B0F9-A24C6935BBBB}">
  <dimension ref="A2:A21"/>
  <sheetViews>
    <sheetView showGridLines="0" workbookViewId="0">
      <selection activeCell="G26" sqref="G26"/>
    </sheetView>
  </sheetViews>
  <sheetFormatPr defaultRowHeight="15" x14ac:dyDescent="0.25"/>
  <cols>
    <col min="1" max="4" width="14.5703125" customWidth="1"/>
    <col min="5" max="5" width="3.28515625" customWidth="1"/>
    <col min="6" max="9" width="14.5703125" customWidth="1"/>
  </cols>
  <sheetData>
    <row r="2" ht="18" customHeight="1" x14ac:dyDescent="0.25"/>
    <row r="3" ht="18" customHeight="1" x14ac:dyDescent="0.25"/>
    <row r="4" ht="18" customHeight="1" x14ac:dyDescent="0.25"/>
    <row r="5" ht="18" customHeight="1" x14ac:dyDescent="0.25"/>
    <row r="6" ht="18" customHeight="1" x14ac:dyDescent="0.25"/>
    <row r="7" ht="18" customHeight="1" x14ac:dyDescent="0.25"/>
    <row r="8" ht="18" customHeight="1" x14ac:dyDescent="0.25"/>
    <row r="9" ht="18" customHeight="1" x14ac:dyDescent="0.25"/>
    <row r="10" ht="18" customHeight="1" x14ac:dyDescent="0.25"/>
    <row r="13" ht="18" customHeight="1" x14ac:dyDescent="0.25"/>
    <row r="14" ht="18" customHeight="1" x14ac:dyDescent="0.25"/>
    <row r="15" ht="18" customHeight="1" x14ac:dyDescent="0.25"/>
    <row r="16" ht="18" customHeight="1" x14ac:dyDescent="0.25"/>
    <row r="17" ht="18" customHeight="1" x14ac:dyDescent="0.25"/>
    <row r="18" ht="18" customHeight="1" x14ac:dyDescent="0.25"/>
    <row r="19" ht="18" customHeight="1" x14ac:dyDescent="0.25"/>
    <row r="20" ht="18" customHeight="1" x14ac:dyDescent="0.25"/>
    <row r="21" ht="18" customHeight="1" x14ac:dyDescent="0.25"/>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F1382-C283-43AE-BDB2-F8E0C0033C01}">
  <dimension ref="A1"/>
  <sheetViews>
    <sheetView showGridLines="0" workbookViewId="0"/>
  </sheetViews>
  <sheetFormatPr defaultRowHeight="15" x14ac:dyDescent="0.25"/>
  <sheetData>
    <row r="1" spans="1:1" x14ac:dyDescent="0.25">
      <c r="A1" t="s">
        <v>342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8DEB5-96FC-47FE-8489-3947BDDBA1A0}">
  <dimension ref="A1:A9"/>
  <sheetViews>
    <sheetView showGridLines="0" workbookViewId="0"/>
  </sheetViews>
  <sheetFormatPr defaultRowHeight="15" x14ac:dyDescent="0.25"/>
  <cols>
    <col min="1" max="1" width="159.85546875" customWidth="1"/>
  </cols>
  <sheetData>
    <row r="1" spans="1:1" ht="409.5" customHeight="1" x14ac:dyDescent="0.25">
      <c r="A1" s="76"/>
    </row>
    <row r="2" spans="1:1" x14ac:dyDescent="0.25">
      <c r="A2" s="29"/>
    </row>
    <row r="3" spans="1:1" x14ac:dyDescent="0.25">
      <c r="A3" s="59"/>
    </row>
    <row r="4" spans="1:1" x14ac:dyDescent="0.25">
      <c r="A4" s="29"/>
    </row>
    <row r="5" spans="1:1" x14ac:dyDescent="0.25">
      <c r="A5" s="59"/>
    </row>
    <row r="6" spans="1:1" x14ac:dyDescent="0.25">
      <c r="A6" s="29"/>
    </row>
    <row r="7" spans="1:1" x14ac:dyDescent="0.25">
      <c r="A7" s="59"/>
    </row>
    <row r="8" spans="1:1" x14ac:dyDescent="0.25">
      <c r="A8" s="29"/>
    </row>
    <row r="9" spans="1:1" x14ac:dyDescent="0.25">
      <c r="A9" s="5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83FB5-1D30-43CC-8A74-84D1F1629BC5}">
  <dimension ref="A1:O83"/>
  <sheetViews>
    <sheetView showGridLines="0" zoomScale="85" zoomScaleNormal="85" workbookViewId="0">
      <selection activeCell="E15" sqref="E15"/>
    </sheetView>
  </sheetViews>
  <sheetFormatPr defaultColWidth="0" defaultRowHeight="0" customHeight="1" zeroHeight="1" x14ac:dyDescent="0.25"/>
  <cols>
    <col min="1" max="1" width="3.85546875" customWidth="1"/>
    <col min="2" max="2" width="8.7109375" customWidth="1"/>
    <col min="3" max="3" width="36.140625" customWidth="1"/>
    <col min="4" max="4" width="9" customWidth="1"/>
    <col min="5" max="5" width="38" customWidth="1"/>
    <col min="6" max="6" width="10.7109375" customWidth="1"/>
    <col min="7" max="7" width="9.140625" customWidth="1"/>
    <col min="8" max="8" width="11.5703125" bestFit="1" customWidth="1"/>
    <col min="9" max="9" width="9.140625" customWidth="1"/>
    <col min="10" max="10" width="10.85546875" bestFit="1" customWidth="1"/>
    <col min="11" max="14" width="9.140625" customWidth="1"/>
    <col min="15" max="15" width="5.5703125" customWidth="1"/>
    <col min="16" max="16384" width="9.140625" hidden="1"/>
  </cols>
  <sheetData>
    <row r="1" spans="2:14" ht="15" customHeight="1" x14ac:dyDescent="0.25">
      <c r="B1" s="117" t="s">
        <v>343</v>
      </c>
      <c r="C1" s="118"/>
      <c r="D1" s="118"/>
      <c r="E1" s="118"/>
      <c r="F1" s="118"/>
      <c r="G1" s="118"/>
      <c r="H1" s="118"/>
      <c r="I1" s="118"/>
      <c r="J1" s="118"/>
      <c r="K1" s="118"/>
      <c r="L1" s="118"/>
      <c r="M1" s="118"/>
      <c r="N1" s="119"/>
    </row>
    <row r="2" spans="2:14" ht="15" customHeight="1" x14ac:dyDescent="0.25">
      <c r="B2" s="120"/>
      <c r="C2" s="121"/>
      <c r="D2" s="121"/>
      <c r="E2" s="121"/>
      <c r="F2" s="121"/>
      <c r="G2" s="121"/>
      <c r="H2" s="121"/>
      <c r="I2" s="121"/>
      <c r="J2" s="121"/>
      <c r="K2" s="121"/>
      <c r="L2" s="121"/>
      <c r="M2" s="121"/>
      <c r="N2" s="122"/>
    </row>
    <row r="3" spans="2:14" ht="21" customHeight="1" x14ac:dyDescent="0.25">
      <c r="B3" s="123"/>
      <c r="C3" s="124"/>
      <c r="D3" s="124"/>
      <c r="E3" s="124"/>
      <c r="F3" s="124"/>
      <c r="G3" s="124"/>
      <c r="H3" s="124"/>
      <c r="I3" s="124"/>
      <c r="J3" s="124"/>
      <c r="K3" s="124"/>
      <c r="L3" s="124"/>
      <c r="M3" s="124"/>
      <c r="N3" s="125"/>
    </row>
    <row r="4" spans="2:14" ht="21" customHeight="1" x14ac:dyDescent="0.25">
      <c r="B4" s="2"/>
      <c r="C4" s="2"/>
      <c r="D4" s="2"/>
      <c r="E4" s="2"/>
      <c r="F4" s="2"/>
      <c r="G4" s="2"/>
      <c r="H4" s="2"/>
      <c r="I4" s="2"/>
      <c r="J4" s="2"/>
      <c r="K4" s="2"/>
      <c r="L4" s="2"/>
      <c r="M4" s="2"/>
      <c r="N4" s="2"/>
    </row>
    <row r="5" spans="2:14" ht="21" customHeight="1" x14ac:dyDescent="0.25">
      <c r="B5" s="3" t="s">
        <v>344</v>
      </c>
      <c r="C5" s="2"/>
      <c r="D5" s="2"/>
      <c r="E5" s="4" t="s">
        <v>345</v>
      </c>
      <c r="F5" s="2"/>
      <c r="G5" s="2"/>
      <c r="H5" s="2"/>
      <c r="I5" s="2"/>
      <c r="J5" s="2"/>
      <c r="K5" s="2"/>
      <c r="L5" s="2"/>
      <c r="M5" s="2"/>
      <c r="N5" s="2"/>
    </row>
    <row r="6" spans="2:14" ht="21" customHeight="1" x14ac:dyDescent="0.25">
      <c r="B6" s="126"/>
      <c r="C6" s="127"/>
      <c r="D6" s="2"/>
      <c r="E6" s="128"/>
      <c r="F6" s="129"/>
      <c r="G6" s="2"/>
      <c r="H6" s="2"/>
      <c r="I6" s="2"/>
      <c r="J6" s="2"/>
      <c r="K6" s="2"/>
      <c r="L6" s="2"/>
      <c r="M6" s="2"/>
      <c r="N6" s="2"/>
    </row>
    <row r="7" spans="2:14" ht="21" customHeight="1" x14ac:dyDescent="0.25">
      <c r="B7" s="130"/>
      <c r="C7" s="131"/>
      <c r="D7" s="2"/>
      <c r="E7" s="132"/>
      <c r="F7" s="133"/>
      <c r="G7" s="2"/>
      <c r="H7" s="2"/>
      <c r="I7" s="2"/>
      <c r="J7" s="2"/>
      <c r="K7" s="2"/>
      <c r="L7" s="2"/>
      <c r="M7" s="2"/>
      <c r="N7" s="2"/>
    </row>
    <row r="8" spans="2:14" ht="21" customHeight="1" x14ac:dyDescent="0.25">
      <c r="B8" s="115"/>
      <c r="C8" s="116"/>
      <c r="D8" s="2"/>
      <c r="E8" s="2"/>
      <c r="F8" s="2"/>
      <c r="G8" s="2"/>
      <c r="H8" s="2"/>
      <c r="I8" s="2"/>
      <c r="J8" s="2"/>
      <c r="K8" s="2"/>
      <c r="L8" s="2"/>
      <c r="M8" s="2"/>
      <c r="N8" s="2"/>
    </row>
    <row r="9" spans="2:14" ht="21" customHeight="1" x14ac:dyDescent="0.25">
      <c r="B9" s="3" t="s">
        <v>346</v>
      </c>
      <c r="C9" s="2"/>
      <c r="D9" s="2"/>
      <c r="E9" s="5" t="s">
        <v>347</v>
      </c>
      <c r="F9" s="2"/>
      <c r="G9" s="2"/>
      <c r="H9" s="2"/>
      <c r="I9" s="2"/>
      <c r="J9" s="2"/>
      <c r="K9" s="2"/>
      <c r="L9" s="2"/>
      <c r="M9" s="2"/>
      <c r="N9" s="2"/>
    </row>
    <row r="10" spans="2:14" ht="21" customHeight="1" x14ac:dyDescent="0.25">
      <c r="B10" s="136"/>
      <c r="C10" s="137"/>
      <c r="D10" s="2"/>
      <c r="E10" s="138"/>
      <c r="F10" s="139"/>
      <c r="G10" s="2"/>
      <c r="H10" s="2"/>
      <c r="I10" s="2"/>
      <c r="J10" s="2"/>
      <c r="K10" s="2"/>
      <c r="L10" s="2"/>
      <c r="M10" s="2"/>
      <c r="N10" s="2"/>
    </row>
    <row r="11" spans="2:14" ht="21" customHeight="1" x14ac:dyDescent="0.25">
      <c r="B11" s="140"/>
      <c r="C11" s="141"/>
      <c r="D11" s="2"/>
      <c r="E11" s="142"/>
      <c r="F11" s="143"/>
      <c r="G11" s="2"/>
      <c r="H11" s="2"/>
      <c r="I11" s="2"/>
      <c r="J11" s="2"/>
      <c r="K11" s="2"/>
      <c r="L11" s="2"/>
      <c r="M11" s="2"/>
      <c r="N11" s="2"/>
    </row>
    <row r="12" spans="2:14" ht="21" customHeight="1" x14ac:dyDescent="0.25">
      <c r="B12" s="144"/>
      <c r="C12" s="145"/>
      <c r="D12" s="2"/>
      <c r="E12" s="132"/>
      <c r="F12" s="133"/>
      <c r="G12" s="2"/>
      <c r="H12" s="2"/>
      <c r="I12" s="2"/>
      <c r="J12" s="2"/>
      <c r="K12" s="2"/>
      <c r="L12" s="2"/>
      <c r="M12" s="2"/>
      <c r="N12" s="2"/>
    </row>
    <row r="13" spans="2:14" ht="21" customHeight="1" x14ac:dyDescent="0.25">
      <c r="B13" s="2"/>
      <c r="C13" s="2"/>
      <c r="D13" s="2"/>
      <c r="E13" s="2"/>
      <c r="F13" s="2"/>
      <c r="G13" s="2"/>
      <c r="H13" s="2"/>
      <c r="I13" s="2"/>
      <c r="J13" s="2"/>
      <c r="K13" s="2"/>
      <c r="L13" s="2"/>
      <c r="M13" s="2"/>
      <c r="N13" s="2"/>
    </row>
    <row r="14" spans="2:14" ht="21" customHeight="1" x14ac:dyDescent="0.25">
      <c r="B14" s="5" t="s">
        <v>348</v>
      </c>
      <c r="C14" s="2"/>
      <c r="D14" s="2"/>
      <c r="E14" s="2"/>
      <c r="F14" s="2"/>
      <c r="G14" s="2"/>
      <c r="H14" s="2"/>
      <c r="I14" s="2"/>
      <c r="J14" s="2"/>
      <c r="K14" s="2"/>
      <c r="L14" s="2"/>
      <c r="M14" s="2"/>
      <c r="N14" s="2"/>
    </row>
    <row r="15" spans="2:14" ht="18.75" x14ac:dyDescent="0.25">
      <c r="B15" s="6"/>
      <c r="C15" s="7" t="s">
        <v>349</v>
      </c>
      <c r="D15" s="7" t="s">
        <v>350</v>
      </c>
      <c r="E15" s="7" t="s">
        <v>92</v>
      </c>
      <c r="F15" s="7"/>
      <c r="G15" s="8"/>
      <c r="H15" s="8"/>
      <c r="I15" s="8"/>
      <c r="J15" s="8"/>
      <c r="K15" s="8"/>
      <c r="L15" s="8"/>
      <c r="M15" s="8"/>
      <c r="N15" s="8"/>
    </row>
    <row r="16" spans="2:14" ht="21" customHeight="1" x14ac:dyDescent="0.25">
      <c r="B16" s="5"/>
      <c r="F16" s="2"/>
      <c r="G16" s="2"/>
      <c r="H16" s="2"/>
      <c r="I16" s="2"/>
      <c r="J16" s="2"/>
      <c r="K16" s="2"/>
      <c r="L16" s="2"/>
      <c r="M16" s="2"/>
      <c r="N16" s="2"/>
    </row>
    <row r="17" spans="2:14" ht="21" customHeight="1" x14ac:dyDescent="0.25">
      <c r="B17" s="2"/>
      <c r="F17" s="2"/>
      <c r="G17" s="2"/>
      <c r="H17" s="2"/>
      <c r="I17" s="2"/>
      <c r="J17" s="2"/>
      <c r="K17" s="2"/>
      <c r="L17" s="2"/>
      <c r="M17" s="2"/>
      <c r="N17" s="2"/>
    </row>
    <row r="18" spans="2:14" ht="21" customHeight="1" x14ac:dyDescent="0.25">
      <c r="B18" s="2"/>
      <c r="F18" s="2"/>
      <c r="G18" s="2"/>
      <c r="H18" s="2"/>
      <c r="I18" s="2"/>
      <c r="J18" s="2"/>
      <c r="K18" s="2"/>
      <c r="L18" s="2"/>
      <c r="M18" s="2"/>
      <c r="N18" s="2"/>
    </row>
    <row r="19" spans="2:14" ht="21" customHeight="1" x14ac:dyDescent="0.25">
      <c r="B19" s="2"/>
      <c r="F19" s="2"/>
      <c r="G19" s="2"/>
      <c r="H19" s="2"/>
      <c r="I19" s="2"/>
      <c r="J19" s="2"/>
      <c r="K19" s="2"/>
      <c r="L19" s="2"/>
      <c r="M19" s="2"/>
      <c r="N19" s="2"/>
    </row>
    <row r="20" spans="2:14" ht="15" x14ac:dyDescent="0.25"/>
    <row r="21" spans="2:14" ht="15" x14ac:dyDescent="0.25"/>
    <row r="22" spans="2:14" ht="15" x14ac:dyDescent="0.25">
      <c r="B22" s="9"/>
      <c r="C22" s="10"/>
      <c r="D22" s="10"/>
      <c r="E22" s="11"/>
      <c r="F22" s="11"/>
      <c r="G22" s="11"/>
      <c r="H22" s="11"/>
      <c r="I22" s="11"/>
      <c r="J22" s="11"/>
      <c r="K22" s="11"/>
      <c r="L22" s="11"/>
      <c r="M22" s="11"/>
      <c r="N22" s="12"/>
    </row>
    <row r="23" spans="2:14" ht="15" x14ac:dyDescent="0.25">
      <c r="B23" s="13"/>
      <c r="C23" s="14" t="s">
        <v>351</v>
      </c>
      <c r="D23" s="15"/>
      <c r="N23" s="16"/>
    </row>
    <row r="24" spans="2:14" ht="15.75" thickBot="1" x14ac:dyDescent="0.3">
      <c r="B24" s="13"/>
      <c r="C24" s="15"/>
      <c r="D24" s="15"/>
      <c r="N24" s="16"/>
    </row>
    <row r="25" spans="2:14" ht="15.75" thickBot="1" x14ac:dyDescent="0.3">
      <c r="B25" s="13"/>
      <c r="C25" s="17" t="s">
        <v>352</v>
      </c>
      <c r="D25" s="17"/>
      <c r="E25" s="18"/>
      <c r="F25" s="17"/>
      <c r="G25" s="17"/>
      <c r="H25" s="17"/>
      <c r="I25" s="17"/>
      <c r="J25" s="17"/>
      <c r="K25" s="17"/>
      <c r="L25" s="17"/>
      <c r="M25" s="17"/>
      <c r="N25" s="19"/>
    </row>
    <row r="26" spans="2:14" ht="15.75" customHeight="1" thickBot="1" x14ac:dyDescent="0.3">
      <c r="B26" s="13"/>
      <c r="C26" s="20" t="s">
        <v>353</v>
      </c>
      <c r="D26" s="17"/>
      <c r="E26" s="17"/>
      <c r="F26" s="17"/>
      <c r="G26" s="21" t="s">
        <v>354</v>
      </c>
      <c r="H26" s="1"/>
      <c r="I26" s="21" t="s">
        <v>355</v>
      </c>
      <c r="J26" s="1"/>
      <c r="M26" s="17"/>
      <c r="N26" s="19"/>
    </row>
    <row r="27" spans="2:14" ht="15.75" customHeight="1" thickBot="1" x14ac:dyDescent="0.3">
      <c r="B27" s="13"/>
      <c r="C27" s="20" t="s">
        <v>356</v>
      </c>
      <c r="D27" s="20"/>
      <c r="E27" s="20"/>
      <c r="F27" s="58"/>
      <c r="G27" s="20"/>
      <c r="H27" s="20"/>
      <c r="I27" s="20"/>
      <c r="J27" s="17"/>
      <c r="K27" s="17"/>
      <c r="L27" s="17"/>
      <c r="M27" s="17"/>
      <c r="N27" s="19"/>
    </row>
    <row r="28" spans="2:14" ht="15" x14ac:dyDescent="0.25">
      <c r="B28" s="13"/>
      <c r="C28" s="22"/>
      <c r="D28" s="22"/>
      <c r="E28" s="22"/>
      <c r="F28" s="22"/>
      <c r="G28" s="22"/>
      <c r="H28" s="22"/>
      <c r="I28" s="22"/>
      <c r="J28" s="22"/>
      <c r="K28" s="22"/>
      <c r="L28" s="22"/>
      <c r="M28" s="22"/>
      <c r="N28" s="23"/>
    </row>
    <row r="29" spans="2:14" ht="15.75" thickBot="1" x14ac:dyDescent="0.3">
      <c r="B29" s="13"/>
      <c r="C29" s="24"/>
      <c r="D29" s="24"/>
      <c r="E29" s="24"/>
      <c r="F29" s="24"/>
      <c r="G29" s="24"/>
      <c r="H29" s="24"/>
      <c r="I29" s="24"/>
      <c r="J29" s="24"/>
      <c r="K29" s="24"/>
      <c r="L29" s="24"/>
      <c r="M29" s="24"/>
      <c r="N29" s="16"/>
    </row>
    <row r="30" spans="2:14" ht="15" x14ac:dyDescent="0.25">
      <c r="B30" s="13"/>
      <c r="C30" s="14" t="s">
        <v>357</v>
      </c>
      <c r="D30" s="15"/>
      <c r="N30" s="16"/>
    </row>
    <row r="31" spans="2:14" ht="15" x14ac:dyDescent="0.25">
      <c r="B31" s="13"/>
      <c r="N31" s="16"/>
    </row>
    <row r="32" spans="2:14" ht="15" x14ac:dyDescent="0.25">
      <c r="B32" s="13"/>
      <c r="C32" s="15" t="s">
        <v>358</v>
      </c>
      <c r="E32" s="15"/>
      <c r="H32" s="15" t="s">
        <v>359</v>
      </c>
      <c r="L32" s="15"/>
      <c r="N32" s="16"/>
    </row>
    <row r="33" spans="2:14" ht="15.75" thickBot="1" x14ac:dyDescent="0.3">
      <c r="B33" s="13"/>
      <c r="C33" s="15" t="s">
        <v>360</v>
      </c>
      <c r="E33" s="15"/>
      <c r="H33" s="15" t="s">
        <v>361</v>
      </c>
      <c r="L33" s="146"/>
      <c r="M33" s="146"/>
      <c r="N33" s="16"/>
    </row>
    <row r="34" spans="2:14" ht="15.75" thickBot="1" x14ac:dyDescent="0.3">
      <c r="B34" s="13"/>
      <c r="C34" s="15" t="s">
        <v>362</v>
      </c>
      <c r="E34" s="15"/>
      <c r="H34" s="15" t="s">
        <v>363</v>
      </c>
      <c r="I34" s="147"/>
      <c r="J34" s="148"/>
      <c r="N34" s="16"/>
    </row>
    <row r="35" spans="2:14" ht="15.75" thickBot="1" x14ac:dyDescent="0.3">
      <c r="B35" s="13"/>
      <c r="C35" s="24"/>
      <c r="N35" s="16"/>
    </row>
    <row r="36" spans="2:14" ht="15" x14ac:dyDescent="0.25">
      <c r="B36" s="26"/>
      <c r="C36" s="14" t="s">
        <v>364</v>
      </c>
      <c r="D36" s="27"/>
      <c r="E36" s="27"/>
      <c r="F36" s="27"/>
      <c r="G36" s="27"/>
      <c r="H36" s="27"/>
      <c r="I36" s="27"/>
      <c r="J36" s="27"/>
      <c r="K36" s="27"/>
      <c r="L36" s="27"/>
      <c r="M36" s="27"/>
      <c r="N36" s="16"/>
    </row>
    <row r="37" spans="2:14" ht="15" x14ac:dyDescent="0.25">
      <c r="B37" s="13"/>
      <c r="N37" s="16"/>
    </row>
    <row r="38" spans="2:14" ht="15" customHeight="1" x14ac:dyDescent="0.25">
      <c r="B38" s="13"/>
      <c r="C38" s="15" t="s">
        <v>365</v>
      </c>
      <c r="F38" s="15" t="s">
        <v>366</v>
      </c>
      <c r="H38" s="15"/>
      <c r="N38" s="16"/>
    </row>
    <row r="39" spans="2:14" ht="15" x14ac:dyDescent="0.25">
      <c r="B39" s="13"/>
      <c r="C39" s="15" t="s">
        <v>367</v>
      </c>
      <c r="F39" s="15" t="s">
        <v>368</v>
      </c>
      <c r="H39" s="15"/>
      <c r="N39" s="16"/>
    </row>
    <row r="40" spans="2:14" ht="15" x14ac:dyDescent="0.25">
      <c r="B40" s="13"/>
      <c r="C40" s="15" t="s">
        <v>369</v>
      </c>
      <c r="F40" s="15" t="s">
        <v>370</v>
      </c>
      <c r="H40" s="15"/>
      <c r="N40" s="16"/>
    </row>
    <row r="41" spans="2:14" ht="15" x14ac:dyDescent="0.25">
      <c r="B41" s="13"/>
      <c r="C41" s="15" t="s">
        <v>371</v>
      </c>
      <c r="F41" s="15" t="s">
        <v>372</v>
      </c>
      <c r="H41" s="15"/>
      <c r="I41" s="149"/>
      <c r="J41" s="149"/>
      <c r="N41" s="16"/>
    </row>
    <row r="42" spans="2:14" ht="15" x14ac:dyDescent="0.25">
      <c r="B42" s="13"/>
      <c r="C42" s="15" t="s">
        <v>373</v>
      </c>
      <c r="F42" s="15" t="s">
        <v>374</v>
      </c>
      <c r="G42" s="15"/>
      <c r="N42" s="16"/>
    </row>
    <row r="43" spans="2:14" ht="15.75" thickBot="1" x14ac:dyDescent="0.3">
      <c r="B43" s="13"/>
      <c r="C43" s="15" t="s">
        <v>375</v>
      </c>
      <c r="F43" s="15" t="s">
        <v>376</v>
      </c>
      <c r="G43" s="15"/>
      <c r="N43" s="16"/>
    </row>
    <row r="44" spans="2:14" ht="15.75" thickBot="1" x14ac:dyDescent="0.3">
      <c r="B44" s="13"/>
      <c r="C44" s="15" t="s">
        <v>377</v>
      </c>
      <c r="D44" s="15"/>
      <c r="E44" s="15"/>
      <c r="F44" s="15" t="s">
        <v>363</v>
      </c>
      <c r="G44" s="150"/>
      <c r="H44" s="151"/>
      <c r="N44" s="16"/>
    </row>
    <row r="45" spans="2:14" ht="15.75" thickBot="1" x14ac:dyDescent="0.3">
      <c r="B45" s="13"/>
      <c r="C45" s="14"/>
      <c r="D45" s="15"/>
      <c r="E45" s="15"/>
      <c r="F45" s="15"/>
      <c r="G45" s="25"/>
      <c r="H45" s="25"/>
      <c r="N45" s="16"/>
    </row>
    <row r="46" spans="2:14" ht="15" x14ac:dyDescent="0.25">
      <c r="B46" s="26"/>
      <c r="C46" s="28" t="s">
        <v>378</v>
      </c>
      <c r="D46" s="27"/>
      <c r="E46" s="27"/>
      <c r="F46" s="27"/>
      <c r="G46" s="27"/>
      <c r="H46" s="27"/>
      <c r="I46" s="27"/>
      <c r="J46" s="27"/>
      <c r="K46" s="27"/>
      <c r="L46" s="27"/>
      <c r="M46" s="27"/>
      <c r="N46" s="16"/>
    </row>
    <row r="47" spans="2:14" ht="15" x14ac:dyDescent="0.25">
      <c r="B47" s="13"/>
      <c r="N47" s="16"/>
    </row>
    <row r="48" spans="2:14" ht="15" x14ac:dyDescent="0.25">
      <c r="B48" s="13"/>
      <c r="C48" s="15" t="s">
        <v>379</v>
      </c>
      <c r="E48" s="15" t="s">
        <v>380</v>
      </c>
      <c r="H48" s="15" t="s">
        <v>381</v>
      </c>
      <c r="N48" s="16"/>
    </row>
    <row r="49" spans="2:14" ht="15" x14ac:dyDescent="0.25">
      <c r="B49" s="13"/>
      <c r="C49" s="15" t="s">
        <v>382</v>
      </c>
      <c r="E49" s="15" t="s">
        <v>383</v>
      </c>
      <c r="H49" s="15" t="s">
        <v>384</v>
      </c>
      <c r="N49" s="16"/>
    </row>
    <row r="50" spans="2:14" ht="15.75" thickBot="1" x14ac:dyDescent="0.3">
      <c r="B50" s="13"/>
      <c r="C50" s="15" t="s">
        <v>385</v>
      </c>
      <c r="E50" s="15" t="s">
        <v>386</v>
      </c>
      <c r="H50" s="15" t="s">
        <v>387</v>
      </c>
      <c r="N50" s="16"/>
    </row>
    <row r="51" spans="2:14" ht="15.75" thickBot="1" x14ac:dyDescent="0.3">
      <c r="B51" s="13"/>
      <c r="C51" s="15" t="s">
        <v>388</v>
      </c>
      <c r="E51" s="15" t="s">
        <v>389</v>
      </c>
      <c r="H51" s="15" t="s">
        <v>390</v>
      </c>
      <c r="I51" s="134"/>
      <c r="J51" s="135"/>
      <c r="N51" s="16"/>
    </row>
    <row r="52" spans="2:14" ht="15" x14ac:dyDescent="0.25">
      <c r="B52" s="13"/>
      <c r="C52" s="15" t="s">
        <v>391</v>
      </c>
      <c r="E52" s="15" t="s">
        <v>392</v>
      </c>
      <c r="G52" s="15"/>
      <c r="N52" s="16"/>
    </row>
    <row r="53" spans="2:14" ht="15" x14ac:dyDescent="0.25">
      <c r="B53" s="13"/>
      <c r="C53" s="15" t="s">
        <v>393</v>
      </c>
      <c r="E53" s="15" t="s">
        <v>394</v>
      </c>
      <c r="G53" s="15"/>
      <c r="N53" s="16"/>
    </row>
    <row r="54" spans="2:14" ht="15" x14ac:dyDescent="0.25">
      <c r="B54" s="13"/>
      <c r="C54" s="15" t="s">
        <v>395</v>
      </c>
      <c r="D54" s="15"/>
      <c r="E54" s="15"/>
      <c r="G54" s="15"/>
      <c r="N54" s="16"/>
    </row>
    <row r="55" spans="2:14" ht="15" x14ac:dyDescent="0.25">
      <c r="B55" s="13"/>
      <c r="C55" s="15" t="s">
        <v>396</v>
      </c>
      <c r="N55" s="16"/>
    </row>
    <row r="56" spans="2:14" ht="15" x14ac:dyDescent="0.25">
      <c r="B56" s="13"/>
      <c r="C56" s="15" t="s">
        <v>397</v>
      </c>
      <c r="N56" s="16"/>
    </row>
    <row r="57" spans="2:14" ht="15" x14ac:dyDescent="0.25">
      <c r="B57" s="13"/>
      <c r="C57" s="15" t="s">
        <v>398</v>
      </c>
      <c r="D57" s="29"/>
      <c r="N57" s="16"/>
    </row>
    <row r="58" spans="2:14" ht="15.75" thickBot="1" x14ac:dyDescent="0.3">
      <c r="B58" s="13"/>
      <c r="C58" s="24"/>
      <c r="D58" s="24"/>
      <c r="E58" s="24"/>
      <c r="F58" s="24"/>
      <c r="G58" s="24"/>
      <c r="H58" s="24"/>
      <c r="I58" s="24"/>
      <c r="J58" s="24"/>
      <c r="K58" s="24"/>
      <c r="L58" s="24"/>
      <c r="M58" s="24"/>
      <c r="N58" s="16"/>
    </row>
    <row r="59" spans="2:14" ht="15" x14ac:dyDescent="0.25">
      <c r="B59" s="13"/>
      <c r="C59" s="14" t="s">
        <v>399</v>
      </c>
      <c r="D59" s="30"/>
      <c r="N59" s="16"/>
    </row>
    <row r="60" spans="2:14" ht="15" x14ac:dyDescent="0.25">
      <c r="B60" s="13"/>
      <c r="C60" s="31"/>
      <c r="D60" s="30"/>
      <c r="N60" s="16"/>
    </row>
    <row r="61" spans="2:14" ht="15" x14ac:dyDescent="0.25">
      <c r="B61" s="13"/>
      <c r="C61" s="15" t="s">
        <v>400</v>
      </c>
      <c r="E61" s="15" t="s">
        <v>401</v>
      </c>
      <c r="H61" s="15" t="s">
        <v>402</v>
      </c>
      <c r="N61" s="16"/>
    </row>
    <row r="62" spans="2:14" ht="15" x14ac:dyDescent="0.25">
      <c r="B62" s="13"/>
      <c r="C62" s="15" t="s">
        <v>403</v>
      </c>
      <c r="E62" s="15" t="s">
        <v>404</v>
      </c>
      <c r="H62" s="15" t="s">
        <v>405</v>
      </c>
      <c r="N62" s="16"/>
    </row>
    <row r="63" spans="2:14" ht="15" x14ac:dyDescent="0.25">
      <c r="B63" s="13"/>
      <c r="C63" s="15" t="s">
        <v>406</v>
      </c>
      <c r="E63" s="15" t="s">
        <v>407</v>
      </c>
      <c r="H63" s="15" t="s">
        <v>408</v>
      </c>
      <c r="N63" s="16"/>
    </row>
    <row r="64" spans="2:14" ht="15" x14ac:dyDescent="0.25">
      <c r="B64" s="13"/>
      <c r="C64" s="15" t="s">
        <v>409</v>
      </c>
      <c r="E64" s="15" t="s">
        <v>410</v>
      </c>
      <c r="H64" s="15" t="s">
        <v>411</v>
      </c>
      <c r="N64" s="16"/>
    </row>
    <row r="65" spans="2:14" ht="15.75" thickBot="1" x14ac:dyDescent="0.3">
      <c r="B65" s="13"/>
      <c r="C65" s="15" t="s">
        <v>412</v>
      </c>
      <c r="E65" s="15" t="s">
        <v>413</v>
      </c>
      <c r="H65" s="15" t="s">
        <v>414</v>
      </c>
      <c r="N65" s="16"/>
    </row>
    <row r="66" spans="2:14" ht="15.75" thickBot="1" x14ac:dyDescent="0.3">
      <c r="B66" s="13"/>
      <c r="C66" s="15" t="s">
        <v>415</v>
      </c>
      <c r="E66" s="15" t="s">
        <v>416</v>
      </c>
      <c r="H66" s="134"/>
      <c r="I66" s="135"/>
      <c r="N66" s="16"/>
    </row>
    <row r="67" spans="2:14" ht="15" x14ac:dyDescent="0.25">
      <c r="B67" s="13"/>
      <c r="C67" s="15" t="s">
        <v>417</v>
      </c>
      <c r="E67" s="15" t="s">
        <v>418</v>
      </c>
      <c r="N67" s="16"/>
    </row>
    <row r="68" spans="2:14" ht="15" x14ac:dyDescent="0.25">
      <c r="B68" s="13"/>
      <c r="C68" s="15" t="s">
        <v>419</v>
      </c>
      <c r="E68" s="15" t="s">
        <v>420</v>
      </c>
      <c r="N68" s="16"/>
    </row>
    <row r="69" spans="2:14" ht="15" x14ac:dyDescent="0.25">
      <c r="B69" s="13"/>
      <c r="D69" s="31"/>
      <c r="N69" s="16"/>
    </row>
    <row r="70" spans="2:14" ht="15.75" thickBot="1" x14ac:dyDescent="0.3">
      <c r="B70" s="13"/>
      <c r="C70" s="24"/>
      <c r="D70" s="24"/>
      <c r="E70" s="24"/>
      <c r="F70" s="24"/>
      <c r="G70" s="24"/>
      <c r="H70" s="24"/>
      <c r="I70" s="24"/>
      <c r="J70" s="24"/>
      <c r="K70" s="24"/>
      <c r="L70" s="24"/>
      <c r="M70" s="24"/>
      <c r="N70" s="16"/>
    </row>
    <row r="71" spans="2:14" ht="15" x14ac:dyDescent="0.25">
      <c r="B71" s="13"/>
      <c r="C71" s="14" t="s">
        <v>421</v>
      </c>
      <c r="D71" s="30"/>
      <c r="N71" s="16"/>
    </row>
    <row r="72" spans="2:14" ht="15" x14ac:dyDescent="0.25">
      <c r="B72" s="13"/>
      <c r="C72" s="31"/>
      <c r="D72" s="31"/>
      <c r="N72" s="16"/>
    </row>
    <row r="73" spans="2:14" s="33" customFormat="1" ht="15" x14ac:dyDescent="0.25">
      <c r="B73" s="32"/>
      <c r="C73" s="15" t="s">
        <v>422</v>
      </c>
      <c r="D73"/>
      <c r="E73" s="15" t="s">
        <v>423</v>
      </c>
      <c r="G73"/>
      <c r="H73" s="15" t="s">
        <v>424</v>
      </c>
      <c r="N73" s="34"/>
    </row>
    <row r="74" spans="2:14" s="33" customFormat="1" ht="15" x14ac:dyDescent="0.25">
      <c r="B74" s="32"/>
      <c r="C74" s="15" t="s">
        <v>425</v>
      </c>
      <c r="D74"/>
      <c r="E74" s="15" t="s">
        <v>426</v>
      </c>
      <c r="G74"/>
      <c r="H74" s="15" t="s">
        <v>427</v>
      </c>
      <c r="N74" s="34"/>
    </row>
    <row r="75" spans="2:14" s="33" customFormat="1" ht="15" x14ac:dyDescent="0.25">
      <c r="B75" s="13"/>
      <c r="C75" s="15" t="s">
        <v>428</v>
      </c>
      <c r="D75"/>
      <c r="E75" s="15" t="s">
        <v>429</v>
      </c>
      <c r="G75"/>
      <c r="H75" s="15" t="s">
        <v>430</v>
      </c>
      <c r="N75" s="34"/>
    </row>
    <row r="76" spans="2:14" s="33" customFormat="1" ht="15" x14ac:dyDescent="0.25">
      <c r="B76" s="32"/>
      <c r="G76"/>
      <c r="H76" s="15" t="s">
        <v>390</v>
      </c>
      <c r="N76" s="34"/>
    </row>
    <row r="77" spans="2:14" ht="15.75" thickBot="1" x14ac:dyDescent="0.3">
      <c r="B77" s="13"/>
      <c r="C77" s="24"/>
      <c r="D77" s="35"/>
      <c r="E77" s="24"/>
      <c r="F77" s="24"/>
      <c r="G77" s="24"/>
      <c r="H77" s="24"/>
      <c r="I77" s="24"/>
      <c r="J77" s="24"/>
      <c r="K77" s="24"/>
      <c r="L77" s="24"/>
      <c r="M77" s="24"/>
      <c r="N77" s="16"/>
    </row>
    <row r="78" spans="2:14" ht="15" x14ac:dyDescent="0.25">
      <c r="B78" s="13"/>
      <c r="D78" s="31"/>
      <c r="N78" s="16"/>
    </row>
    <row r="79" spans="2:14" ht="15" x14ac:dyDescent="0.25">
      <c r="B79" s="36"/>
      <c r="C79" s="37"/>
      <c r="D79" s="38"/>
      <c r="E79" s="37"/>
      <c r="F79" s="37"/>
      <c r="G79" s="37"/>
      <c r="H79" s="37"/>
      <c r="I79" s="37"/>
      <c r="J79" s="37"/>
      <c r="K79" s="37"/>
      <c r="L79" s="37"/>
      <c r="M79" s="37"/>
      <c r="N79" s="39"/>
    </row>
    <row r="80" spans="2:14" ht="15" x14ac:dyDescent="0.25">
      <c r="D80" s="31"/>
    </row>
    <row r="81" spans="3:4" ht="15" hidden="1" x14ac:dyDescent="0.25">
      <c r="D81" s="31"/>
    </row>
    <row r="82" spans="3:4" ht="15" hidden="1" x14ac:dyDescent="0.25">
      <c r="D82" s="31"/>
    </row>
    <row r="83" spans="3:4" ht="15" hidden="1" x14ac:dyDescent="0.25">
      <c r="C83" s="31"/>
      <c r="D83" s="31"/>
    </row>
  </sheetData>
  <mergeCells count="18">
    <mergeCell ref="L33:M33"/>
    <mergeCell ref="I34:J34"/>
    <mergeCell ref="I41:J41"/>
    <mergeCell ref="G44:H44"/>
    <mergeCell ref="I51:J51"/>
    <mergeCell ref="H66:I66"/>
    <mergeCell ref="B10:C10"/>
    <mergeCell ref="E10:F10"/>
    <mergeCell ref="B11:C11"/>
    <mergeCell ref="E11:F11"/>
    <mergeCell ref="B12:C12"/>
    <mergeCell ref="E12:F12"/>
    <mergeCell ref="B8:C8"/>
    <mergeCell ref="B1:N3"/>
    <mergeCell ref="B6:C6"/>
    <mergeCell ref="E6:F6"/>
    <mergeCell ref="B7:C7"/>
    <mergeCell ref="E7:F7"/>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3" r:id="rId4" name="Check Box 1">
              <controlPr defaultSize="0" autoFill="0" autoLine="0" autoPict="0">
                <anchor moveWithCells="1">
                  <from>
                    <xdr:col>1</xdr:col>
                    <xdr:colOff>285750</xdr:colOff>
                    <xdr:row>31</xdr:row>
                    <xdr:rowOff>38100</xdr:rowOff>
                  </from>
                  <to>
                    <xdr:col>1</xdr:col>
                    <xdr:colOff>552450</xdr:colOff>
                    <xdr:row>32</xdr:row>
                    <xdr:rowOff>9525</xdr:rowOff>
                  </to>
                </anchor>
              </controlPr>
            </control>
          </mc:Choice>
        </mc:AlternateContent>
        <mc:AlternateContent xmlns:mc="http://schemas.openxmlformats.org/markup-compatibility/2006">
          <mc:Choice Requires="x14">
            <control shapeId="8194" r:id="rId5" name="Check Box 2">
              <controlPr defaultSize="0" autoFill="0" autoLine="0" autoPict="0">
                <anchor moveWithCells="1">
                  <from>
                    <xdr:col>1</xdr:col>
                    <xdr:colOff>285750</xdr:colOff>
                    <xdr:row>32</xdr:row>
                    <xdr:rowOff>38100</xdr:rowOff>
                  </from>
                  <to>
                    <xdr:col>1</xdr:col>
                    <xdr:colOff>552450</xdr:colOff>
                    <xdr:row>33</xdr:row>
                    <xdr:rowOff>0</xdr:rowOff>
                  </to>
                </anchor>
              </controlPr>
            </control>
          </mc:Choice>
        </mc:AlternateContent>
        <mc:AlternateContent xmlns:mc="http://schemas.openxmlformats.org/markup-compatibility/2006">
          <mc:Choice Requires="x14">
            <control shapeId="8195" r:id="rId6" name="Check Box 3">
              <controlPr defaultSize="0" autoFill="0" autoLine="0" autoPict="0">
                <anchor moveWithCells="1">
                  <from>
                    <xdr:col>1</xdr:col>
                    <xdr:colOff>285750</xdr:colOff>
                    <xdr:row>33</xdr:row>
                    <xdr:rowOff>38100</xdr:rowOff>
                  </from>
                  <to>
                    <xdr:col>1</xdr:col>
                    <xdr:colOff>552450</xdr:colOff>
                    <xdr:row>34</xdr:row>
                    <xdr:rowOff>0</xdr:rowOff>
                  </to>
                </anchor>
              </controlPr>
            </control>
          </mc:Choice>
        </mc:AlternateContent>
        <mc:AlternateContent xmlns:mc="http://schemas.openxmlformats.org/markup-compatibility/2006">
          <mc:Choice Requires="x14">
            <control shapeId="8196" r:id="rId7" name="Check Box 4">
              <controlPr defaultSize="0" autoFill="0" autoLine="0" autoPict="0">
                <anchor moveWithCells="1">
                  <from>
                    <xdr:col>6</xdr:col>
                    <xdr:colOff>285750</xdr:colOff>
                    <xdr:row>31</xdr:row>
                    <xdr:rowOff>38100</xdr:rowOff>
                  </from>
                  <to>
                    <xdr:col>6</xdr:col>
                    <xdr:colOff>552450</xdr:colOff>
                    <xdr:row>32</xdr:row>
                    <xdr:rowOff>9525</xdr:rowOff>
                  </to>
                </anchor>
              </controlPr>
            </control>
          </mc:Choice>
        </mc:AlternateContent>
        <mc:AlternateContent xmlns:mc="http://schemas.openxmlformats.org/markup-compatibility/2006">
          <mc:Choice Requires="x14">
            <control shapeId="8197" r:id="rId8" name="Check Box 5">
              <controlPr defaultSize="0" autoFill="0" autoLine="0" autoPict="0">
                <anchor moveWithCells="1">
                  <from>
                    <xdr:col>6</xdr:col>
                    <xdr:colOff>285750</xdr:colOff>
                    <xdr:row>32</xdr:row>
                    <xdr:rowOff>38100</xdr:rowOff>
                  </from>
                  <to>
                    <xdr:col>6</xdr:col>
                    <xdr:colOff>552450</xdr:colOff>
                    <xdr:row>33</xdr:row>
                    <xdr:rowOff>0</xdr:rowOff>
                  </to>
                </anchor>
              </controlPr>
            </control>
          </mc:Choice>
        </mc:AlternateContent>
        <mc:AlternateContent xmlns:mc="http://schemas.openxmlformats.org/markup-compatibility/2006">
          <mc:Choice Requires="x14">
            <control shapeId="8198" r:id="rId9" name="Check Box 6">
              <controlPr defaultSize="0" autoFill="0" autoLine="0" autoPict="0">
                <anchor moveWithCells="1">
                  <from>
                    <xdr:col>6</xdr:col>
                    <xdr:colOff>285750</xdr:colOff>
                    <xdr:row>33</xdr:row>
                    <xdr:rowOff>38100</xdr:rowOff>
                  </from>
                  <to>
                    <xdr:col>6</xdr:col>
                    <xdr:colOff>552450</xdr:colOff>
                    <xdr:row>34</xdr:row>
                    <xdr:rowOff>0</xdr:rowOff>
                  </to>
                </anchor>
              </controlPr>
            </control>
          </mc:Choice>
        </mc:AlternateContent>
        <mc:AlternateContent xmlns:mc="http://schemas.openxmlformats.org/markup-compatibility/2006">
          <mc:Choice Requires="x14">
            <control shapeId="8199" r:id="rId10" name="Check Box 7">
              <controlPr defaultSize="0" autoFill="0" autoLine="0" autoPict="0">
                <anchor moveWithCells="1">
                  <from>
                    <xdr:col>1</xdr:col>
                    <xdr:colOff>285750</xdr:colOff>
                    <xdr:row>37</xdr:row>
                    <xdr:rowOff>38100</xdr:rowOff>
                  </from>
                  <to>
                    <xdr:col>1</xdr:col>
                    <xdr:colOff>552450</xdr:colOff>
                    <xdr:row>38</xdr:row>
                    <xdr:rowOff>9525</xdr:rowOff>
                  </to>
                </anchor>
              </controlPr>
            </control>
          </mc:Choice>
        </mc:AlternateContent>
        <mc:AlternateContent xmlns:mc="http://schemas.openxmlformats.org/markup-compatibility/2006">
          <mc:Choice Requires="x14">
            <control shapeId="8200" r:id="rId11" name="Check Box 8">
              <controlPr defaultSize="0" autoFill="0" autoLine="0" autoPict="0">
                <anchor moveWithCells="1">
                  <from>
                    <xdr:col>1</xdr:col>
                    <xdr:colOff>285750</xdr:colOff>
                    <xdr:row>39</xdr:row>
                    <xdr:rowOff>38100</xdr:rowOff>
                  </from>
                  <to>
                    <xdr:col>1</xdr:col>
                    <xdr:colOff>552450</xdr:colOff>
                    <xdr:row>40</xdr:row>
                    <xdr:rowOff>9525</xdr:rowOff>
                  </to>
                </anchor>
              </controlPr>
            </control>
          </mc:Choice>
        </mc:AlternateContent>
        <mc:AlternateContent xmlns:mc="http://schemas.openxmlformats.org/markup-compatibility/2006">
          <mc:Choice Requires="x14">
            <control shapeId="8201" r:id="rId12" name="Check Box 9">
              <controlPr defaultSize="0" autoFill="0" autoLine="0" autoPict="0">
                <anchor moveWithCells="1">
                  <from>
                    <xdr:col>1</xdr:col>
                    <xdr:colOff>285750</xdr:colOff>
                    <xdr:row>40</xdr:row>
                    <xdr:rowOff>38100</xdr:rowOff>
                  </from>
                  <to>
                    <xdr:col>1</xdr:col>
                    <xdr:colOff>552450</xdr:colOff>
                    <xdr:row>41</xdr:row>
                    <xdr:rowOff>9525</xdr:rowOff>
                  </to>
                </anchor>
              </controlPr>
            </control>
          </mc:Choice>
        </mc:AlternateContent>
        <mc:AlternateContent xmlns:mc="http://schemas.openxmlformats.org/markup-compatibility/2006">
          <mc:Choice Requires="x14">
            <control shapeId="8202" r:id="rId13" name="Check Box 10">
              <controlPr defaultSize="0" autoFill="0" autoLine="0" autoPict="0">
                <anchor moveWithCells="1">
                  <from>
                    <xdr:col>1</xdr:col>
                    <xdr:colOff>285750</xdr:colOff>
                    <xdr:row>41</xdr:row>
                    <xdr:rowOff>38100</xdr:rowOff>
                  </from>
                  <to>
                    <xdr:col>1</xdr:col>
                    <xdr:colOff>552450</xdr:colOff>
                    <xdr:row>42</xdr:row>
                    <xdr:rowOff>9525</xdr:rowOff>
                  </to>
                </anchor>
              </controlPr>
            </control>
          </mc:Choice>
        </mc:AlternateContent>
        <mc:AlternateContent xmlns:mc="http://schemas.openxmlformats.org/markup-compatibility/2006">
          <mc:Choice Requires="x14">
            <control shapeId="8203" r:id="rId14" name="Check Box 11">
              <controlPr defaultSize="0" autoFill="0" autoLine="0" autoPict="0">
                <anchor moveWithCells="1">
                  <from>
                    <xdr:col>1</xdr:col>
                    <xdr:colOff>285750</xdr:colOff>
                    <xdr:row>42</xdr:row>
                    <xdr:rowOff>38100</xdr:rowOff>
                  </from>
                  <to>
                    <xdr:col>1</xdr:col>
                    <xdr:colOff>552450</xdr:colOff>
                    <xdr:row>43</xdr:row>
                    <xdr:rowOff>0</xdr:rowOff>
                  </to>
                </anchor>
              </controlPr>
            </control>
          </mc:Choice>
        </mc:AlternateContent>
        <mc:AlternateContent xmlns:mc="http://schemas.openxmlformats.org/markup-compatibility/2006">
          <mc:Choice Requires="x14">
            <control shapeId="8204" r:id="rId15" name="Check Box 12">
              <controlPr defaultSize="0" autoFill="0" autoLine="0" autoPict="0">
                <anchor moveWithCells="1">
                  <from>
                    <xdr:col>1</xdr:col>
                    <xdr:colOff>285750</xdr:colOff>
                    <xdr:row>43</xdr:row>
                    <xdr:rowOff>38100</xdr:rowOff>
                  </from>
                  <to>
                    <xdr:col>1</xdr:col>
                    <xdr:colOff>552450</xdr:colOff>
                    <xdr:row>44</xdr:row>
                    <xdr:rowOff>0</xdr:rowOff>
                  </to>
                </anchor>
              </controlPr>
            </control>
          </mc:Choice>
        </mc:AlternateContent>
        <mc:AlternateContent xmlns:mc="http://schemas.openxmlformats.org/markup-compatibility/2006">
          <mc:Choice Requires="x14">
            <control shapeId="8205" r:id="rId16" name="Check Box 13">
              <controlPr defaultSize="0" autoFill="0" autoLine="0" autoPict="0">
                <anchor moveWithCells="1">
                  <from>
                    <xdr:col>1</xdr:col>
                    <xdr:colOff>285750</xdr:colOff>
                    <xdr:row>60</xdr:row>
                    <xdr:rowOff>38100</xdr:rowOff>
                  </from>
                  <to>
                    <xdr:col>1</xdr:col>
                    <xdr:colOff>552450</xdr:colOff>
                    <xdr:row>61</xdr:row>
                    <xdr:rowOff>9525</xdr:rowOff>
                  </to>
                </anchor>
              </controlPr>
            </control>
          </mc:Choice>
        </mc:AlternateContent>
        <mc:AlternateContent xmlns:mc="http://schemas.openxmlformats.org/markup-compatibility/2006">
          <mc:Choice Requires="x14">
            <control shapeId="8206" r:id="rId17" name="Check Box 14">
              <controlPr defaultSize="0" autoFill="0" autoLine="0" autoPict="0">
                <anchor moveWithCells="1">
                  <from>
                    <xdr:col>1</xdr:col>
                    <xdr:colOff>285750</xdr:colOff>
                    <xdr:row>60</xdr:row>
                    <xdr:rowOff>38100</xdr:rowOff>
                  </from>
                  <to>
                    <xdr:col>1</xdr:col>
                    <xdr:colOff>552450</xdr:colOff>
                    <xdr:row>61</xdr:row>
                    <xdr:rowOff>9525</xdr:rowOff>
                  </to>
                </anchor>
              </controlPr>
            </control>
          </mc:Choice>
        </mc:AlternateContent>
        <mc:AlternateContent xmlns:mc="http://schemas.openxmlformats.org/markup-compatibility/2006">
          <mc:Choice Requires="x14">
            <control shapeId="8207" r:id="rId18" name="Check Box 15">
              <controlPr defaultSize="0" autoFill="0" autoLine="0" autoPict="0">
                <anchor moveWithCells="1">
                  <from>
                    <xdr:col>1</xdr:col>
                    <xdr:colOff>285750</xdr:colOff>
                    <xdr:row>62</xdr:row>
                    <xdr:rowOff>38100</xdr:rowOff>
                  </from>
                  <to>
                    <xdr:col>1</xdr:col>
                    <xdr:colOff>552450</xdr:colOff>
                    <xdr:row>63</xdr:row>
                    <xdr:rowOff>9525</xdr:rowOff>
                  </to>
                </anchor>
              </controlPr>
            </control>
          </mc:Choice>
        </mc:AlternateContent>
        <mc:AlternateContent xmlns:mc="http://schemas.openxmlformats.org/markup-compatibility/2006">
          <mc:Choice Requires="x14">
            <control shapeId="8208" r:id="rId19" name="Check Box 16">
              <controlPr defaultSize="0" autoFill="0" autoLine="0" autoPict="0">
                <anchor moveWithCells="1">
                  <from>
                    <xdr:col>1</xdr:col>
                    <xdr:colOff>285750</xdr:colOff>
                    <xdr:row>61</xdr:row>
                    <xdr:rowOff>38100</xdr:rowOff>
                  </from>
                  <to>
                    <xdr:col>1</xdr:col>
                    <xdr:colOff>552450</xdr:colOff>
                    <xdr:row>62</xdr:row>
                    <xdr:rowOff>9525</xdr:rowOff>
                  </to>
                </anchor>
              </controlPr>
            </control>
          </mc:Choice>
        </mc:AlternateContent>
        <mc:AlternateContent xmlns:mc="http://schemas.openxmlformats.org/markup-compatibility/2006">
          <mc:Choice Requires="x14">
            <control shapeId="8209" r:id="rId20" name="Check Box 17">
              <controlPr defaultSize="0" autoFill="0" autoLine="0" autoPict="0">
                <anchor moveWithCells="1">
                  <from>
                    <xdr:col>1</xdr:col>
                    <xdr:colOff>285750</xdr:colOff>
                    <xdr:row>63</xdr:row>
                    <xdr:rowOff>38100</xdr:rowOff>
                  </from>
                  <to>
                    <xdr:col>1</xdr:col>
                    <xdr:colOff>552450</xdr:colOff>
                    <xdr:row>64</xdr:row>
                    <xdr:rowOff>9525</xdr:rowOff>
                  </to>
                </anchor>
              </controlPr>
            </control>
          </mc:Choice>
        </mc:AlternateContent>
        <mc:AlternateContent xmlns:mc="http://schemas.openxmlformats.org/markup-compatibility/2006">
          <mc:Choice Requires="x14">
            <control shapeId="8210" r:id="rId21" name="Check Box 18">
              <controlPr defaultSize="0" autoFill="0" autoLine="0" autoPict="0">
                <anchor moveWithCells="1">
                  <from>
                    <xdr:col>1</xdr:col>
                    <xdr:colOff>285750</xdr:colOff>
                    <xdr:row>64</xdr:row>
                    <xdr:rowOff>38100</xdr:rowOff>
                  </from>
                  <to>
                    <xdr:col>1</xdr:col>
                    <xdr:colOff>552450</xdr:colOff>
                    <xdr:row>65</xdr:row>
                    <xdr:rowOff>0</xdr:rowOff>
                  </to>
                </anchor>
              </controlPr>
            </control>
          </mc:Choice>
        </mc:AlternateContent>
        <mc:AlternateContent xmlns:mc="http://schemas.openxmlformats.org/markup-compatibility/2006">
          <mc:Choice Requires="x14">
            <control shapeId="8211" r:id="rId22" name="Check Box 19">
              <controlPr defaultSize="0" autoFill="0" autoLine="0" autoPict="0">
                <anchor moveWithCells="1">
                  <from>
                    <xdr:col>1</xdr:col>
                    <xdr:colOff>285750</xdr:colOff>
                    <xdr:row>65</xdr:row>
                    <xdr:rowOff>38100</xdr:rowOff>
                  </from>
                  <to>
                    <xdr:col>1</xdr:col>
                    <xdr:colOff>552450</xdr:colOff>
                    <xdr:row>66</xdr:row>
                    <xdr:rowOff>0</xdr:rowOff>
                  </to>
                </anchor>
              </controlPr>
            </control>
          </mc:Choice>
        </mc:AlternateContent>
        <mc:AlternateContent xmlns:mc="http://schemas.openxmlformats.org/markup-compatibility/2006">
          <mc:Choice Requires="x14">
            <control shapeId="8212" r:id="rId23" name="Check Box 20">
              <controlPr defaultSize="0" autoFill="0" autoLine="0" autoPict="0">
                <anchor moveWithCells="1">
                  <from>
                    <xdr:col>1</xdr:col>
                    <xdr:colOff>285750</xdr:colOff>
                    <xdr:row>66</xdr:row>
                    <xdr:rowOff>38100</xdr:rowOff>
                  </from>
                  <to>
                    <xdr:col>1</xdr:col>
                    <xdr:colOff>552450</xdr:colOff>
                    <xdr:row>67</xdr:row>
                    <xdr:rowOff>9525</xdr:rowOff>
                  </to>
                </anchor>
              </controlPr>
            </control>
          </mc:Choice>
        </mc:AlternateContent>
        <mc:AlternateContent xmlns:mc="http://schemas.openxmlformats.org/markup-compatibility/2006">
          <mc:Choice Requires="x14">
            <control shapeId="8213" r:id="rId24" name="Check Box 21">
              <controlPr defaultSize="0" autoFill="0" autoLine="0" autoPict="0">
                <anchor moveWithCells="1">
                  <from>
                    <xdr:col>1</xdr:col>
                    <xdr:colOff>285750</xdr:colOff>
                    <xdr:row>67</xdr:row>
                    <xdr:rowOff>38100</xdr:rowOff>
                  </from>
                  <to>
                    <xdr:col>1</xdr:col>
                    <xdr:colOff>552450</xdr:colOff>
                    <xdr:row>68</xdr:row>
                    <xdr:rowOff>9525</xdr:rowOff>
                  </to>
                </anchor>
              </controlPr>
            </control>
          </mc:Choice>
        </mc:AlternateContent>
        <mc:AlternateContent xmlns:mc="http://schemas.openxmlformats.org/markup-compatibility/2006">
          <mc:Choice Requires="x14">
            <control shapeId="8214" r:id="rId25" name="Check Box 22">
              <controlPr defaultSize="0" autoFill="0" autoLine="0" autoPict="0">
                <anchor moveWithCells="1">
                  <from>
                    <xdr:col>3</xdr:col>
                    <xdr:colOff>285750</xdr:colOff>
                    <xdr:row>60</xdr:row>
                    <xdr:rowOff>38100</xdr:rowOff>
                  </from>
                  <to>
                    <xdr:col>3</xdr:col>
                    <xdr:colOff>552450</xdr:colOff>
                    <xdr:row>61</xdr:row>
                    <xdr:rowOff>9525</xdr:rowOff>
                  </to>
                </anchor>
              </controlPr>
            </control>
          </mc:Choice>
        </mc:AlternateContent>
        <mc:AlternateContent xmlns:mc="http://schemas.openxmlformats.org/markup-compatibility/2006">
          <mc:Choice Requires="x14">
            <control shapeId="8215" r:id="rId26" name="Check Box 23">
              <controlPr defaultSize="0" autoFill="0" autoLine="0" autoPict="0">
                <anchor moveWithCells="1">
                  <from>
                    <xdr:col>3</xdr:col>
                    <xdr:colOff>285750</xdr:colOff>
                    <xdr:row>61</xdr:row>
                    <xdr:rowOff>38100</xdr:rowOff>
                  </from>
                  <to>
                    <xdr:col>3</xdr:col>
                    <xdr:colOff>552450</xdr:colOff>
                    <xdr:row>62</xdr:row>
                    <xdr:rowOff>9525</xdr:rowOff>
                  </to>
                </anchor>
              </controlPr>
            </control>
          </mc:Choice>
        </mc:AlternateContent>
        <mc:AlternateContent xmlns:mc="http://schemas.openxmlformats.org/markup-compatibility/2006">
          <mc:Choice Requires="x14">
            <control shapeId="8216" r:id="rId27" name="Check Box 24">
              <controlPr defaultSize="0" autoFill="0" autoLine="0" autoPict="0">
                <anchor moveWithCells="1">
                  <from>
                    <xdr:col>3</xdr:col>
                    <xdr:colOff>285750</xdr:colOff>
                    <xdr:row>62</xdr:row>
                    <xdr:rowOff>38100</xdr:rowOff>
                  </from>
                  <to>
                    <xdr:col>3</xdr:col>
                    <xdr:colOff>552450</xdr:colOff>
                    <xdr:row>63</xdr:row>
                    <xdr:rowOff>9525</xdr:rowOff>
                  </to>
                </anchor>
              </controlPr>
            </control>
          </mc:Choice>
        </mc:AlternateContent>
        <mc:AlternateContent xmlns:mc="http://schemas.openxmlformats.org/markup-compatibility/2006">
          <mc:Choice Requires="x14">
            <control shapeId="8217" r:id="rId28" name="Check Box 25">
              <controlPr defaultSize="0" autoFill="0" autoLine="0" autoPict="0">
                <anchor moveWithCells="1">
                  <from>
                    <xdr:col>3</xdr:col>
                    <xdr:colOff>285750</xdr:colOff>
                    <xdr:row>63</xdr:row>
                    <xdr:rowOff>38100</xdr:rowOff>
                  </from>
                  <to>
                    <xdr:col>3</xdr:col>
                    <xdr:colOff>552450</xdr:colOff>
                    <xdr:row>64</xdr:row>
                    <xdr:rowOff>9525</xdr:rowOff>
                  </to>
                </anchor>
              </controlPr>
            </control>
          </mc:Choice>
        </mc:AlternateContent>
        <mc:AlternateContent xmlns:mc="http://schemas.openxmlformats.org/markup-compatibility/2006">
          <mc:Choice Requires="x14">
            <control shapeId="8218" r:id="rId29" name="Check Box 26">
              <controlPr defaultSize="0" autoFill="0" autoLine="0" autoPict="0">
                <anchor moveWithCells="1">
                  <from>
                    <xdr:col>3</xdr:col>
                    <xdr:colOff>285750</xdr:colOff>
                    <xdr:row>64</xdr:row>
                    <xdr:rowOff>38100</xdr:rowOff>
                  </from>
                  <to>
                    <xdr:col>3</xdr:col>
                    <xdr:colOff>552450</xdr:colOff>
                    <xdr:row>65</xdr:row>
                    <xdr:rowOff>0</xdr:rowOff>
                  </to>
                </anchor>
              </controlPr>
            </control>
          </mc:Choice>
        </mc:AlternateContent>
        <mc:AlternateContent xmlns:mc="http://schemas.openxmlformats.org/markup-compatibility/2006">
          <mc:Choice Requires="x14">
            <control shapeId="8219" r:id="rId30" name="Check Box 27">
              <controlPr defaultSize="0" autoFill="0" autoLine="0" autoPict="0">
                <anchor moveWithCells="1">
                  <from>
                    <xdr:col>3</xdr:col>
                    <xdr:colOff>285750</xdr:colOff>
                    <xdr:row>65</xdr:row>
                    <xdr:rowOff>38100</xdr:rowOff>
                  </from>
                  <to>
                    <xdr:col>3</xdr:col>
                    <xdr:colOff>552450</xdr:colOff>
                    <xdr:row>66</xdr:row>
                    <xdr:rowOff>0</xdr:rowOff>
                  </to>
                </anchor>
              </controlPr>
            </control>
          </mc:Choice>
        </mc:AlternateContent>
        <mc:AlternateContent xmlns:mc="http://schemas.openxmlformats.org/markup-compatibility/2006">
          <mc:Choice Requires="x14">
            <control shapeId="8220" r:id="rId31" name="Check Box 28">
              <controlPr defaultSize="0" autoFill="0" autoLine="0" autoPict="0">
                <anchor moveWithCells="1">
                  <from>
                    <xdr:col>3</xdr:col>
                    <xdr:colOff>285750</xdr:colOff>
                    <xdr:row>66</xdr:row>
                    <xdr:rowOff>38100</xdr:rowOff>
                  </from>
                  <to>
                    <xdr:col>3</xdr:col>
                    <xdr:colOff>552450</xdr:colOff>
                    <xdr:row>67</xdr:row>
                    <xdr:rowOff>9525</xdr:rowOff>
                  </to>
                </anchor>
              </controlPr>
            </control>
          </mc:Choice>
        </mc:AlternateContent>
        <mc:AlternateContent xmlns:mc="http://schemas.openxmlformats.org/markup-compatibility/2006">
          <mc:Choice Requires="x14">
            <control shapeId="8221" r:id="rId32" name="Check Box 29">
              <controlPr defaultSize="0" autoFill="0" autoLine="0" autoPict="0">
                <anchor moveWithCells="1">
                  <from>
                    <xdr:col>3</xdr:col>
                    <xdr:colOff>285750</xdr:colOff>
                    <xdr:row>67</xdr:row>
                    <xdr:rowOff>38100</xdr:rowOff>
                  </from>
                  <to>
                    <xdr:col>3</xdr:col>
                    <xdr:colOff>552450</xdr:colOff>
                    <xdr:row>68</xdr:row>
                    <xdr:rowOff>9525</xdr:rowOff>
                  </to>
                </anchor>
              </controlPr>
            </control>
          </mc:Choice>
        </mc:AlternateContent>
        <mc:AlternateContent xmlns:mc="http://schemas.openxmlformats.org/markup-compatibility/2006">
          <mc:Choice Requires="x14">
            <control shapeId="8222" r:id="rId33" name="Check Box 30">
              <controlPr defaultSize="0" autoFill="0" autoLine="0" autoPict="0">
                <anchor moveWithCells="1">
                  <from>
                    <xdr:col>6</xdr:col>
                    <xdr:colOff>285750</xdr:colOff>
                    <xdr:row>60</xdr:row>
                    <xdr:rowOff>38100</xdr:rowOff>
                  </from>
                  <to>
                    <xdr:col>6</xdr:col>
                    <xdr:colOff>552450</xdr:colOff>
                    <xdr:row>61</xdr:row>
                    <xdr:rowOff>9525</xdr:rowOff>
                  </to>
                </anchor>
              </controlPr>
            </control>
          </mc:Choice>
        </mc:AlternateContent>
        <mc:AlternateContent xmlns:mc="http://schemas.openxmlformats.org/markup-compatibility/2006">
          <mc:Choice Requires="x14">
            <control shapeId="8223" r:id="rId34" name="Check Box 31">
              <controlPr defaultSize="0" autoFill="0" autoLine="0" autoPict="0">
                <anchor moveWithCells="1">
                  <from>
                    <xdr:col>6</xdr:col>
                    <xdr:colOff>285750</xdr:colOff>
                    <xdr:row>61</xdr:row>
                    <xdr:rowOff>38100</xdr:rowOff>
                  </from>
                  <to>
                    <xdr:col>6</xdr:col>
                    <xdr:colOff>552450</xdr:colOff>
                    <xdr:row>62</xdr:row>
                    <xdr:rowOff>9525</xdr:rowOff>
                  </to>
                </anchor>
              </controlPr>
            </control>
          </mc:Choice>
        </mc:AlternateContent>
        <mc:AlternateContent xmlns:mc="http://schemas.openxmlformats.org/markup-compatibility/2006">
          <mc:Choice Requires="x14">
            <control shapeId="8224" r:id="rId35" name="Check Box 32">
              <controlPr defaultSize="0" autoFill="0" autoLine="0" autoPict="0">
                <anchor moveWithCells="1">
                  <from>
                    <xdr:col>6</xdr:col>
                    <xdr:colOff>285750</xdr:colOff>
                    <xdr:row>62</xdr:row>
                    <xdr:rowOff>38100</xdr:rowOff>
                  </from>
                  <to>
                    <xdr:col>6</xdr:col>
                    <xdr:colOff>552450</xdr:colOff>
                    <xdr:row>63</xdr:row>
                    <xdr:rowOff>9525</xdr:rowOff>
                  </to>
                </anchor>
              </controlPr>
            </control>
          </mc:Choice>
        </mc:AlternateContent>
        <mc:AlternateContent xmlns:mc="http://schemas.openxmlformats.org/markup-compatibility/2006">
          <mc:Choice Requires="x14">
            <control shapeId="8225" r:id="rId36" name="Check Box 33">
              <controlPr defaultSize="0" autoFill="0" autoLine="0" autoPict="0">
                <anchor moveWithCells="1">
                  <from>
                    <xdr:col>6</xdr:col>
                    <xdr:colOff>285750</xdr:colOff>
                    <xdr:row>63</xdr:row>
                    <xdr:rowOff>38100</xdr:rowOff>
                  </from>
                  <to>
                    <xdr:col>6</xdr:col>
                    <xdr:colOff>552450</xdr:colOff>
                    <xdr:row>64</xdr:row>
                    <xdr:rowOff>9525</xdr:rowOff>
                  </to>
                </anchor>
              </controlPr>
            </control>
          </mc:Choice>
        </mc:AlternateContent>
        <mc:AlternateContent xmlns:mc="http://schemas.openxmlformats.org/markup-compatibility/2006">
          <mc:Choice Requires="x14">
            <control shapeId="8226" r:id="rId37" name="Check Box 34">
              <controlPr defaultSize="0" autoFill="0" autoLine="0" autoPict="0">
                <anchor moveWithCells="1">
                  <from>
                    <xdr:col>6</xdr:col>
                    <xdr:colOff>285750</xdr:colOff>
                    <xdr:row>64</xdr:row>
                    <xdr:rowOff>38100</xdr:rowOff>
                  </from>
                  <to>
                    <xdr:col>6</xdr:col>
                    <xdr:colOff>552450</xdr:colOff>
                    <xdr:row>65</xdr:row>
                    <xdr:rowOff>0</xdr:rowOff>
                  </to>
                </anchor>
              </controlPr>
            </control>
          </mc:Choice>
        </mc:AlternateContent>
        <mc:AlternateContent xmlns:mc="http://schemas.openxmlformats.org/markup-compatibility/2006">
          <mc:Choice Requires="x14">
            <control shapeId="8227" r:id="rId38" name="Check Box 35">
              <controlPr defaultSize="0" autoFill="0" autoLine="0" autoPict="0">
                <anchor moveWithCells="1">
                  <from>
                    <xdr:col>6</xdr:col>
                    <xdr:colOff>285750</xdr:colOff>
                    <xdr:row>72</xdr:row>
                    <xdr:rowOff>38100</xdr:rowOff>
                  </from>
                  <to>
                    <xdr:col>6</xdr:col>
                    <xdr:colOff>552450</xdr:colOff>
                    <xdr:row>73</xdr:row>
                    <xdr:rowOff>9525</xdr:rowOff>
                  </to>
                </anchor>
              </controlPr>
            </control>
          </mc:Choice>
        </mc:AlternateContent>
        <mc:AlternateContent xmlns:mc="http://schemas.openxmlformats.org/markup-compatibility/2006">
          <mc:Choice Requires="x14">
            <control shapeId="8228" r:id="rId39" name="Check Box 36">
              <controlPr defaultSize="0" autoFill="0" autoLine="0" autoPict="0">
                <anchor moveWithCells="1">
                  <from>
                    <xdr:col>6</xdr:col>
                    <xdr:colOff>285750</xdr:colOff>
                    <xdr:row>73</xdr:row>
                    <xdr:rowOff>38100</xdr:rowOff>
                  </from>
                  <to>
                    <xdr:col>6</xdr:col>
                    <xdr:colOff>552450</xdr:colOff>
                    <xdr:row>74</xdr:row>
                    <xdr:rowOff>9525</xdr:rowOff>
                  </to>
                </anchor>
              </controlPr>
            </control>
          </mc:Choice>
        </mc:AlternateContent>
        <mc:AlternateContent xmlns:mc="http://schemas.openxmlformats.org/markup-compatibility/2006">
          <mc:Choice Requires="x14">
            <control shapeId="8229" r:id="rId40" name="Check Box 37">
              <controlPr defaultSize="0" autoFill="0" autoLine="0" autoPict="0">
                <anchor moveWithCells="1">
                  <from>
                    <xdr:col>6</xdr:col>
                    <xdr:colOff>285750</xdr:colOff>
                    <xdr:row>73</xdr:row>
                    <xdr:rowOff>38100</xdr:rowOff>
                  </from>
                  <to>
                    <xdr:col>6</xdr:col>
                    <xdr:colOff>552450</xdr:colOff>
                    <xdr:row>74</xdr:row>
                    <xdr:rowOff>9525</xdr:rowOff>
                  </to>
                </anchor>
              </controlPr>
            </control>
          </mc:Choice>
        </mc:AlternateContent>
        <mc:AlternateContent xmlns:mc="http://schemas.openxmlformats.org/markup-compatibility/2006">
          <mc:Choice Requires="x14">
            <control shapeId="8230" r:id="rId41" name="Check Box 38">
              <controlPr defaultSize="0" autoFill="0" autoLine="0" autoPict="0">
                <anchor moveWithCells="1">
                  <from>
                    <xdr:col>6</xdr:col>
                    <xdr:colOff>285750</xdr:colOff>
                    <xdr:row>74</xdr:row>
                    <xdr:rowOff>38100</xdr:rowOff>
                  </from>
                  <to>
                    <xdr:col>6</xdr:col>
                    <xdr:colOff>552450</xdr:colOff>
                    <xdr:row>75</xdr:row>
                    <xdr:rowOff>9525</xdr:rowOff>
                  </to>
                </anchor>
              </controlPr>
            </control>
          </mc:Choice>
        </mc:AlternateContent>
        <mc:AlternateContent xmlns:mc="http://schemas.openxmlformats.org/markup-compatibility/2006">
          <mc:Choice Requires="x14">
            <control shapeId="8231" r:id="rId42" name="Check Box 39">
              <controlPr defaultSize="0" autoFill="0" autoLine="0" autoPict="0">
                <anchor moveWithCells="1">
                  <from>
                    <xdr:col>6</xdr:col>
                    <xdr:colOff>285750</xdr:colOff>
                    <xdr:row>74</xdr:row>
                    <xdr:rowOff>38100</xdr:rowOff>
                  </from>
                  <to>
                    <xdr:col>6</xdr:col>
                    <xdr:colOff>552450</xdr:colOff>
                    <xdr:row>75</xdr:row>
                    <xdr:rowOff>9525</xdr:rowOff>
                  </to>
                </anchor>
              </controlPr>
            </control>
          </mc:Choice>
        </mc:AlternateContent>
        <mc:AlternateContent xmlns:mc="http://schemas.openxmlformats.org/markup-compatibility/2006">
          <mc:Choice Requires="x14">
            <control shapeId="8232" r:id="rId43" name="Check Box 40">
              <controlPr defaultSize="0" autoFill="0" autoLine="0" autoPict="0">
                <anchor moveWithCells="1">
                  <from>
                    <xdr:col>6</xdr:col>
                    <xdr:colOff>285750</xdr:colOff>
                    <xdr:row>74</xdr:row>
                    <xdr:rowOff>38100</xdr:rowOff>
                  </from>
                  <to>
                    <xdr:col>6</xdr:col>
                    <xdr:colOff>552450</xdr:colOff>
                    <xdr:row>75</xdr:row>
                    <xdr:rowOff>9525</xdr:rowOff>
                  </to>
                </anchor>
              </controlPr>
            </control>
          </mc:Choice>
        </mc:AlternateContent>
        <mc:AlternateContent xmlns:mc="http://schemas.openxmlformats.org/markup-compatibility/2006">
          <mc:Choice Requires="x14">
            <control shapeId="8233" r:id="rId44" name="Check Box 41">
              <controlPr defaultSize="0" autoFill="0" autoLine="0" autoPict="0">
                <anchor moveWithCells="1">
                  <from>
                    <xdr:col>6</xdr:col>
                    <xdr:colOff>285750</xdr:colOff>
                    <xdr:row>75</xdr:row>
                    <xdr:rowOff>38100</xdr:rowOff>
                  </from>
                  <to>
                    <xdr:col>6</xdr:col>
                    <xdr:colOff>552450</xdr:colOff>
                    <xdr:row>76</xdr:row>
                    <xdr:rowOff>9525</xdr:rowOff>
                  </to>
                </anchor>
              </controlPr>
            </control>
          </mc:Choice>
        </mc:AlternateContent>
        <mc:AlternateContent xmlns:mc="http://schemas.openxmlformats.org/markup-compatibility/2006">
          <mc:Choice Requires="x14">
            <control shapeId="8234" r:id="rId45" name="Check Box 42">
              <controlPr defaultSize="0" autoFill="0" autoLine="0" autoPict="0">
                <anchor moveWithCells="1">
                  <from>
                    <xdr:col>3</xdr:col>
                    <xdr:colOff>285750</xdr:colOff>
                    <xdr:row>72</xdr:row>
                    <xdr:rowOff>38100</xdr:rowOff>
                  </from>
                  <to>
                    <xdr:col>3</xdr:col>
                    <xdr:colOff>552450</xdr:colOff>
                    <xdr:row>73</xdr:row>
                    <xdr:rowOff>9525</xdr:rowOff>
                  </to>
                </anchor>
              </controlPr>
            </control>
          </mc:Choice>
        </mc:AlternateContent>
        <mc:AlternateContent xmlns:mc="http://schemas.openxmlformats.org/markup-compatibility/2006">
          <mc:Choice Requires="x14">
            <control shapeId="8235" r:id="rId46" name="Check Box 43">
              <controlPr defaultSize="0" autoFill="0" autoLine="0" autoPict="0">
                <anchor moveWithCells="1">
                  <from>
                    <xdr:col>3</xdr:col>
                    <xdr:colOff>285750</xdr:colOff>
                    <xdr:row>72</xdr:row>
                    <xdr:rowOff>38100</xdr:rowOff>
                  </from>
                  <to>
                    <xdr:col>3</xdr:col>
                    <xdr:colOff>552450</xdr:colOff>
                    <xdr:row>73</xdr:row>
                    <xdr:rowOff>9525</xdr:rowOff>
                  </to>
                </anchor>
              </controlPr>
            </control>
          </mc:Choice>
        </mc:AlternateContent>
        <mc:AlternateContent xmlns:mc="http://schemas.openxmlformats.org/markup-compatibility/2006">
          <mc:Choice Requires="x14">
            <control shapeId="8236" r:id="rId47" name="Check Box 44">
              <controlPr defaultSize="0" autoFill="0" autoLine="0" autoPict="0">
                <anchor moveWithCells="1">
                  <from>
                    <xdr:col>3</xdr:col>
                    <xdr:colOff>285750</xdr:colOff>
                    <xdr:row>72</xdr:row>
                    <xdr:rowOff>38100</xdr:rowOff>
                  </from>
                  <to>
                    <xdr:col>3</xdr:col>
                    <xdr:colOff>552450</xdr:colOff>
                    <xdr:row>73</xdr:row>
                    <xdr:rowOff>9525</xdr:rowOff>
                  </to>
                </anchor>
              </controlPr>
            </control>
          </mc:Choice>
        </mc:AlternateContent>
        <mc:AlternateContent xmlns:mc="http://schemas.openxmlformats.org/markup-compatibility/2006">
          <mc:Choice Requires="x14">
            <control shapeId="8237" r:id="rId48" name="Check Box 45">
              <controlPr defaultSize="0" autoFill="0" autoLine="0" autoPict="0">
                <anchor moveWithCells="1">
                  <from>
                    <xdr:col>3</xdr:col>
                    <xdr:colOff>285750</xdr:colOff>
                    <xdr:row>72</xdr:row>
                    <xdr:rowOff>38100</xdr:rowOff>
                  </from>
                  <to>
                    <xdr:col>3</xdr:col>
                    <xdr:colOff>552450</xdr:colOff>
                    <xdr:row>73</xdr:row>
                    <xdr:rowOff>9525</xdr:rowOff>
                  </to>
                </anchor>
              </controlPr>
            </control>
          </mc:Choice>
        </mc:AlternateContent>
        <mc:AlternateContent xmlns:mc="http://schemas.openxmlformats.org/markup-compatibility/2006">
          <mc:Choice Requires="x14">
            <control shapeId="8238" r:id="rId49" name="Check Box 46">
              <controlPr defaultSize="0" autoFill="0" autoLine="0" autoPict="0">
                <anchor moveWithCells="1">
                  <from>
                    <xdr:col>3</xdr:col>
                    <xdr:colOff>285750</xdr:colOff>
                    <xdr:row>73</xdr:row>
                    <xdr:rowOff>38100</xdr:rowOff>
                  </from>
                  <to>
                    <xdr:col>3</xdr:col>
                    <xdr:colOff>552450</xdr:colOff>
                    <xdr:row>74</xdr:row>
                    <xdr:rowOff>9525</xdr:rowOff>
                  </to>
                </anchor>
              </controlPr>
            </control>
          </mc:Choice>
        </mc:AlternateContent>
        <mc:AlternateContent xmlns:mc="http://schemas.openxmlformats.org/markup-compatibility/2006">
          <mc:Choice Requires="x14">
            <control shapeId="8239" r:id="rId50" name="Check Box 47">
              <controlPr defaultSize="0" autoFill="0" autoLine="0" autoPict="0">
                <anchor moveWithCells="1">
                  <from>
                    <xdr:col>3</xdr:col>
                    <xdr:colOff>285750</xdr:colOff>
                    <xdr:row>73</xdr:row>
                    <xdr:rowOff>38100</xdr:rowOff>
                  </from>
                  <to>
                    <xdr:col>3</xdr:col>
                    <xdr:colOff>552450</xdr:colOff>
                    <xdr:row>74</xdr:row>
                    <xdr:rowOff>9525</xdr:rowOff>
                  </to>
                </anchor>
              </controlPr>
            </control>
          </mc:Choice>
        </mc:AlternateContent>
        <mc:AlternateContent xmlns:mc="http://schemas.openxmlformats.org/markup-compatibility/2006">
          <mc:Choice Requires="x14">
            <control shapeId="8240" r:id="rId51" name="Check Box 48">
              <controlPr defaultSize="0" autoFill="0" autoLine="0" autoPict="0">
                <anchor moveWithCells="1">
                  <from>
                    <xdr:col>3</xdr:col>
                    <xdr:colOff>285750</xdr:colOff>
                    <xdr:row>73</xdr:row>
                    <xdr:rowOff>38100</xdr:rowOff>
                  </from>
                  <to>
                    <xdr:col>3</xdr:col>
                    <xdr:colOff>552450</xdr:colOff>
                    <xdr:row>74</xdr:row>
                    <xdr:rowOff>9525</xdr:rowOff>
                  </to>
                </anchor>
              </controlPr>
            </control>
          </mc:Choice>
        </mc:AlternateContent>
        <mc:AlternateContent xmlns:mc="http://schemas.openxmlformats.org/markup-compatibility/2006">
          <mc:Choice Requires="x14">
            <control shapeId="8241" r:id="rId52" name="Check Box 49">
              <controlPr defaultSize="0" autoFill="0" autoLine="0" autoPict="0">
                <anchor moveWithCells="1">
                  <from>
                    <xdr:col>3</xdr:col>
                    <xdr:colOff>285750</xdr:colOff>
                    <xdr:row>73</xdr:row>
                    <xdr:rowOff>38100</xdr:rowOff>
                  </from>
                  <to>
                    <xdr:col>3</xdr:col>
                    <xdr:colOff>552450</xdr:colOff>
                    <xdr:row>74</xdr:row>
                    <xdr:rowOff>9525</xdr:rowOff>
                  </to>
                </anchor>
              </controlPr>
            </control>
          </mc:Choice>
        </mc:AlternateContent>
        <mc:AlternateContent xmlns:mc="http://schemas.openxmlformats.org/markup-compatibility/2006">
          <mc:Choice Requires="x14">
            <control shapeId="8242" r:id="rId53" name="Check Box 50">
              <controlPr defaultSize="0" autoFill="0" autoLine="0" autoPict="0">
                <anchor moveWithCells="1">
                  <from>
                    <xdr:col>3</xdr:col>
                    <xdr:colOff>285750</xdr:colOff>
                    <xdr:row>73</xdr:row>
                    <xdr:rowOff>38100</xdr:rowOff>
                  </from>
                  <to>
                    <xdr:col>3</xdr:col>
                    <xdr:colOff>552450</xdr:colOff>
                    <xdr:row>74</xdr:row>
                    <xdr:rowOff>9525</xdr:rowOff>
                  </to>
                </anchor>
              </controlPr>
            </control>
          </mc:Choice>
        </mc:AlternateContent>
        <mc:AlternateContent xmlns:mc="http://schemas.openxmlformats.org/markup-compatibility/2006">
          <mc:Choice Requires="x14">
            <control shapeId="8243" r:id="rId54" name="Check Box 51">
              <controlPr defaultSize="0" autoFill="0" autoLine="0" autoPict="0">
                <anchor moveWithCells="1">
                  <from>
                    <xdr:col>3</xdr:col>
                    <xdr:colOff>285750</xdr:colOff>
                    <xdr:row>74</xdr:row>
                    <xdr:rowOff>38100</xdr:rowOff>
                  </from>
                  <to>
                    <xdr:col>3</xdr:col>
                    <xdr:colOff>552450</xdr:colOff>
                    <xdr:row>75</xdr:row>
                    <xdr:rowOff>9525</xdr:rowOff>
                  </to>
                </anchor>
              </controlPr>
            </control>
          </mc:Choice>
        </mc:AlternateContent>
        <mc:AlternateContent xmlns:mc="http://schemas.openxmlformats.org/markup-compatibility/2006">
          <mc:Choice Requires="x14">
            <control shapeId="8244" r:id="rId55" name="Check Box 52">
              <controlPr defaultSize="0" autoFill="0" autoLine="0" autoPict="0">
                <anchor moveWithCells="1">
                  <from>
                    <xdr:col>1</xdr:col>
                    <xdr:colOff>285750</xdr:colOff>
                    <xdr:row>73</xdr:row>
                    <xdr:rowOff>38100</xdr:rowOff>
                  </from>
                  <to>
                    <xdr:col>1</xdr:col>
                    <xdr:colOff>552450</xdr:colOff>
                    <xdr:row>74</xdr:row>
                    <xdr:rowOff>9525</xdr:rowOff>
                  </to>
                </anchor>
              </controlPr>
            </control>
          </mc:Choice>
        </mc:AlternateContent>
        <mc:AlternateContent xmlns:mc="http://schemas.openxmlformats.org/markup-compatibility/2006">
          <mc:Choice Requires="x14">
            <control shapeId="8245" r:id="rId56" name="Check Box 53">
              <controlPr defaultSize="0" autoFill="0" autoLine="0" autoPict="0">
                <anchor moveWithCells="1">
                  <from>
                    <xdr:col>1</xdr:col>
                    <xdr:colOff>285750</xdr:colOff>
                    <xdr:row>74</xdr:row>
                    <xdr:rowOff>38100</xdr:rowOff>
                  </from>
                  <to>
                    <xdr:col>1</xdr:col>
                    <xdr:colOff>552450</xdr:colOff>
                    <xdr:row>75</xdr:row>
                    <xdr:rowOff>9525</xdr:rowOff>
                  </to>
                </anchor>
              </controlPr>
            </control>
          </mc:Choice>
        </mc:AlternateContent>
        <mc:AlternateContent xmlns:mc="http://schemas.openxmlformats.org/markup-compatibility/2006">
          <mc:Choice Requires="x14">
            <control shapeId="8246" r:id="rId57" name="Check Box 54">
              <controlPr defaultSize="0" autoFill="0" autoLine="0" autoPict="0">
                <anchor moveWithCells="1">
                  <from>
                    <xdr:col>1</xdr:col>
                    <xdr:colOff>285750</xdr:colOff>
                    <xdr:row>72</xdr:row>
                    <xdr:rowOff>38100</xdr:rowOff>
                  </from>
                  <to>
                    <xdr:col>1</xdr:col>
                    <xdr:colOff>552450</xdr:colOff>
                    <xdr:row>73</xdr:row>
                    <xdr:rowOff>9525</xdr:rowOff>
                  </to>
                </anchor>
              </controlPr>
            </control>
          </mc:Choice>
        </mc:AlternateContent>
        <mc:AlternateContent xmlns:mc="http://schemas.openxmlformats.org/markup-compatibility/2006">
          <mc:Choice Requires="x14">
            <control shapeId="8247" r:id="rId58" name="Check Box 55">
              <controlPr defaultSize="0" autoFill="0" autoLine="0" autoPict="0">
                <anchor moveWithCells="1">
                  <from>
                    <xdr:col>4</xdr:col>
                    <xdr:colOff>2314575</xdr:colOff>
                    <xdr:row>37</xdr:row>
                    <xdr:rowOff>0</xdr:rowOff>
                  </from>
                  <to>
                    <xdr:col>5</xdr:col>
                    <xdr:colOff>47625</xdr:colOff>
                    <xdr:row>37</xdr:row>
                    <xdr:rowOff>152400</xdr:rowOff>
                  </to>
                </anchor>
              </controlPr>
            </control>
          </mc:Choice>
        </mc:AlternateContent>
        <mc:AlternateContent xmlns:mc="http://schemas.openxmlformats.org/markup-compatibility/2006">
          <mc:Choice Requires="x14">
            <control shapeId="8248" r:id="rId59" name="Check Box 56">
              <controlPr defaultSize="0" autoFill="0" autoLine="0" autoPict="0">
                <anchor moveWithCells="1">
                  <from>
                    <xdr:col>4</xdr:col>
                    <xdr:colOff>2314575</xdr:colOff>
                    <xdr:row>38</xdr:row>
                    <xdr:rowOff>0</xdr:rowOff>
                  </from>
                  <to>
                    <xdr:col>5</xdr:col>
                    <xdr:colOff>47625</xdr:colOff>
                    <xdr:row>38</xdr:row>
                    <xdr:rowOff>152400</xdr:rowOff>
                  </to>
                </anchor>
              </controlPr>
            </control>
          </mc:Choice>
        </mc:AlternateContent>
        <mc:AlternateContent xmlns:mc="http://schemas.openxmlformats.org/markup-compatibility/2006">
          <mc:Choice Requires="x14">
            <control shapeId="8249" r:id="rId60" name="Check Box 57">
              <controlPr defaultSize="0" autoFill="0" autoLine="0" autoPict="0">
                <anchor moveWithCells="1">
                  <from>
                    <xdr:col>4</xdr:col>
                    <xdr:colOff>2314575</xdr:colOff>
                    <xdr:row>39</xdr:row>
                    <xdr:rowOff>0</xdr:rowOff>
                  </from>
                  <to>
                    <xdr:col>5</xdr:col>
                    <xdr:colOff>47625</xdr:colOff>
                    <xdr:row>39</xdr:row>
                    <xdr:rowOff>152400</xdr:rowOff>
                  </to>
                </anchor>
              </controlPr>
            </control>
          </mc:Choice>
        </mc:AlternateContent>
        <mc:AlternateContent xmlns:mc="http://schemas.openxmlformats.org/markup-compatibility/2006">
          <mc:Choice Requires="x14">
            <control shapeId="8250" r:id="rId61" name="Check Box 58">
              <controlPr defaultSize="0" autoFill="0" autoLine="0" autoPict="0">
                <anchor moveWithCells="1">
                  <from>
                    <xdr:col>4</xdr:col>
                    <xdr:colOff>2314575</xdr:colOff>
                    <xdr:row>40</xdr:row>
                    <xdr:rowOff>0</xdr:rowOff>
                  </from>
                  <to>
                    <xdr:col>5</xdr:col>
                    <xdr:colOff>47625</xdr:colOff>
                    <xdr:row>40</xdr:row>
                    <xdr:rowOff>152400</xdr:rowOff>
                  </to>
                </anchor>
              </controlPr>
            </control>
          </mc:Choice>
        </mc:AlternateContent>
        <mc:AlternateContent xmlns:mc="http://schemas.openxmlformats.org/markup-compatibility/2006">
          <mc:Choice Requires="x14">
            <control shapeId="8251" r:id="rId62" name="Check Box 59">
              <controlPr defaultSize="0" autoFill="0" autoLine="0" autoPict="0">
                <anchor moveWithCells="1">
                  <from>
                    <xdr:col>4</xdr:col>
                    <xdr:colOff>2314575</xdr:colOff>
                    <xdr:row>41</xdr:row>
                    <xdr:rowOff>0</xdr:rowOff>
                  </from>
                  <to>
                    <xdr:col>5</xdr:col>
                    <xdr:colOff>47625</xdr:colOff>
                    <xdr:row>41</xdr:row>
                    <xdr:rowOff>152400</xdr:rowOff>
                  </to>
                </anchor>
              </controlPr>
            </control>
          </mc:Choice>
        </mc:AlternateContent>
        <mc:AlternateContent xmlns:mc="http://schemas.openxmlformats.org/markup-compatibility/2006">
          <mc:Choice Requires="x14">
            <control shapeId="8252" r:id="rId63" name="Check Box 60">
              <controlPr defaultSize="0" autoFill="0" autoLine="0" autoPict="0">
                <anchor moveWithCells="1">
                  <from>
                    <xdr:col>4</xdr:col>
                    <xdr:colOff>2314575</xdr:colOff>
                    <xdr:row>42</xdr:row>
                    <xdr:rowOff>0</xdr:rowOff>
                  </from>
                  <to>
                    <xdr:col>5</xdr:col>
                    <xdr:colOff>47625</xdr:colOff>
                    <xdr:row>42</xdr:row>
                    <xdr:rowOff>152400</xdr:rowOff>
                  </to>
                </anchor>
              </controlPr>
            </control>
          </mc:Choice>
        </mc:AlternateContent>
        <mc:AlternateContent xmlns:mc="http://schemas.openxmlformats.org/markup-compatibility/2006">
          <mc:Choice Requires="x14">
            <control shapeId="8253" r:id="rId64" name="Check Box 61">
              <controlPr defaultSize="0" autoFill="0" autoLine="0" autoPict="0">
                <anchor moveWithCells="1">
                  <from>
                    <xdr:col>1</xdr:col>
                    <xdr:colOff>285750</xdr:colOff>
                    <xdr:row>38</xdr:row>
                    <xdr:rowOff>38100</xdr:rowOff>
                  </from>
                  <to>
                    <xdr:col>1</xdr:col>
                    <xdr:colOff>552450</xdr:colOff>
                    <xdr:row>39</xdr:row>
                    <xdr:rowOff>9525</xdr:rowOff>
                  </to>
                </anchor>
              </controlPr>
            </control>
          </mc:Choice>
        </mc:AlternateContent>
        <mc:AlternateContent xmlns:mc="http://schemas.openxmlformats.org/markup-compatibility/2006">
          <mc:Choice Requires="x14">
            <control shapeId="8254" r:id="rId65" name="Check Box 62">
              <controlPr defaultSize="0" autoFill="0" autoLine="0" autoPict="0">
                <anchor moveWithCells="1">
                  <from>
                    <xdr:col>1</xdr:col>
                    <xdr:colOff>285750</xdr:colOff>
                    <xdr:row>47</xdr:row>
                    <xdr:rowOff>38100</xdr:rowOff>
                  </from>
                  <to>
                    <xdr:col>1</xdr:col>
                    <xdr:colOff>552450</xdr:colOff>
                    <xdr:row>48</xdr:row>
                    <xdr:rowOff>9525</xdr:rowOff>
                  </to>
                </anchor>
              </controlPr>
            </control>
          </mc:Choice>
        </mc:AlternateContent>
        <mc:AlternateContent xmlns:mc="http://schemas.openxmlformats.org/markup-compatibility/2006">
          <mc:Choice Requires="x14">
            <control shapeId="8255" r:id="rId66" name="Check Box 63">
              <controlPr defaultSize="0" autoFill="0" autoLine="0" autoPict="0">
                <anchor moveWithCells="1">
                  <from>
                    <xdr:col>1</xdr:col>
                    <xdr:colOff>285750</xdr:colOff>
                    <xdr:row>48</xdr:row>
                    <xdr:rowOff>38100</xdr:rowOff>
                  </from>
                  <to>
                    <xdr:col>1</xdr:col>
                    <xdr:colOff>552450</xdr:colOff>
                    <xdr:row>49</xdr:row>
                    <xdr:rowOff>9525</xdr:rowOff>
                  </to>
                </anchor>
              </controlPr>
            </control>
          </mc:Choice>
        </mc:AlternateContent>
        <mc:AlternateContent xmlns:mc="http://schemas.openxmlformats.org/markup-compatibility/2006">
          <mc:Choice Requires="x14">
            <control shapeId="8256" r:id="rId67" name="Check Box 64">
              <controlPr defaultSize="0" autoFill="0" autoLine="0" autoPict="0">
                <anchor moveWithCells="1">
                  <from>
                    <xdr:col>1</xdr:col>
                    <xdr:colOff>285750</xdr:colOff>
                    <xdr:row>49</xdr:row>
                    <xdr:rowOff>38100</xdr:rowOff>
                  </from>
                  <to>
                    <xdr:col>1</xdr:col>
                    <xdr:colOff>552450</xdr:colOff>
                    <xdr:row>50</xdr:row>
                    <xdr:rowOff>0</xdr:rowOff>
                  </to>
                </anchor>
              </controlPr>
            </control>
          </mc:Choice>
        </mc:AlternateContent>
        <mc:AlternateContent xmlns:mc="http://schemas.openxmlformats.org/markup-compatibility/2006">
          <mc:Choice Requires="x14">
            <control shapeId="8257" r:id="rId68" name="Check Box 65">
              <controlPr defaultSize="0" autoFill="0" autoLine="0" autoPict="0">
                <anchor moveWithCells="1">
                  <from>
                    <xdr:col>1</xdr:col>
                    <xdr:colOff>285750</xdr:colOff>
                    <xdr:row>50</xdr:row>
                    <xdr:rowOff>38100</xdr:rowOff>
                  </from>
                  <to>
                    <xdr:col>1</xdr:col>
                    <xdr:colOff>552450</xdr:colOff>
                    <xdr:row>51</xdr:row>
                    <xdr:rowOff>0</xdr:rowOff>
                  </to>
                </anchor>
              </controlPr>
            </control>
          </mc:Choice>
        </mc:AlternateContent>
        <mc:AlternateContent xmlns:mc="http://schemas.openxmlformats.org/markup-compatibility/2006">
          <mc:Choice Requires="x14">
            <control shapeId="8258" r:id="rId69" name="Check Box 66">
              <controlPr defaultSize="0" autoFill="0" autoLine="0" autoPict="0">
                <anchor moveWithCells="1">
                  <from>
                    <xdr:col>1</xdr:col>
                    <xdr:colOff>285750</xdr:colOff>
                    <xdr:row>51</xdr:row>
                    <xdr:rowOff>38100</xdr:rowOff>
                  </from>
                  <to>
                    <xdr:col>1</xdr:col>
                    <xdr:colOff>552450</xdr:colOff>
                    <xdr:row>52</xdr:row>
                    <xdr:rowOff>9525</xdr:rowOff>
                  </to>
                </anchor>
              </controlPr>
            </control>
          </mc:Choice>
        </mc:AlternateContent>
        <mc:AlternateContent xmlns:mc="http://schemas.openxmlformats.org/markup-compatibility/2006">
          <mc:Choice Requires="x14">
            <control shapeId="8259" r:id="rId70" name="Check Box 67">
              <controlPr defaultSize="0" autoFill="0" autoLine="0" autoPict="0">
                <anchor moveWithCells="1">
                  <from>
                    <xdr:col>1</xdr:col>
                    <xdr:colOff>285750</xdr:colOff>
                    <xdr:row>52</xdr:row>
                    <xdr:rowOff>38100</xdr:rowOff>
                  </from>
                  <to>
                    <xdr:col>1</xdr:col>
                    <xdr:colOff>552450</xdr:colOff>
                    <xdr:row>53</xdr:row>
                    <xdr:rowOff>9525</xdr:rowOff>
                  </to>
                </anchor>
              </controlPr>
            </control>
          </mc:Choice>
        </mc:AlternateContent>
        <mc:AlternateContent xmlns:mc="http://schemas.openxmlformats.org/markup-compatibility/2006">
          <mc:Choice Requires="x14">
            <control shapeId="8260" r:id="rId71" name="Check Box 68">
              <controlPr defaultSize="0" autoFill="0" autoLine="0" autoPict="0">
                <anchor moveWithCells="1">
                  <from>
                    <xdr:col>1</xdr:col>
                    <xdr:colOff>285750</xdr:colOff>
                    <xdr:row>53</xdr:row>
                    <xdr:rowOff>38100</xdr:rowOff>
                  </from>
                  <to>
                    <xdr:col>1</xdr:col>
                    <xdr:colOff>552450</xdr:colOff>
                    <xdr:row>54</xdr:row>
                    <xdr:rowOff>9525</xdr:rowOff>
                  </to>
                </anchor>
              </controlPr>
            </control>
          </mc:Choice>
        </mc:AlternateContent>
        <mc:AlternateContent xmlns:mc="http://schemas.openxmlformats.org/markup-compatibility/2006">
          <mc:Choice Requires="x14">
            <control shapeId="8261" r:id="rId72" name="Check Box 69">
              <controlPr defaultSize="0" autoFill="0" autoLine="0" autoPict="0">
                <anchor moveWithCells="1">
                  <from>
                    <xdr:col>1</xdr:col>
                    <xdr:colOff>285750</xdr:colOff>
                    <xdr:row>54</xdr:row>
                    <xdr:rowOff>38100</xdr:rowOff>
                  </from>
                  <to>
                    <xdr:col>1</xdr:col>
                    <xdr:colOff>552450</xdr:colOff>
                    <xdr:row>55</xdr:row>
                    <xdr:rowOff>9525</xdr:rowOff>
                  </to>
                </anchor>
              </controlPr>
            </control>
          </mc:Choice>
        </mc:AlternateContent>
        <mc:AlternateContent xmlns:mc="http://schemas.openxmlformats.org/markup-compatibility/2006">
          <mc:Choice Requires="x14">
            <control shapeId="8262" r:id="rId73" name="Check Box 70">
              <controlPr defaultSize="0" autoFill="0" autoLine="0" autoPict="0">
                <anchor moveWithCells="1">
                  <from>
                    <xdr:col>1</xdr:col>
                    <xdr:colOff>285750</xdr:colOff>
                    <xdr:row>55</xdr:row>
                    <xdr:rowOff>38100</xdr:rowOff>
                  </from>
                  <to>
                    <xdr:col>1</xdr:col>
                    <xdr:colOff>552450</xdr:colOff>
                    <xdr:row>56</xdr:row>
                    <xdr:rowOff>9525</xdr:rowOff>
                  </to>
                </anchor>
              </controlPr>
            </control>
          </mc:Choice>
        </mc:AlternateContent>
        <mc:AlternateContent xmlns:mc="http://schemas.openxmlformats.org/markup-compatibility/2006">
          <mc:Choice Requires="x14">
            <control shapeId="8263" r:id="rId74" name="Check Box 71">
              <controlPr defaultSize="0" autoFill="0" autoLine="0" autoPict="0">
                <anchor moveWithCells="1">
                  <from>
                    <xdr:col>1</xdr:col>
                    <xdr:colOff>285750</xdr:colOff>
                    <xdr:row>56</xdr:row>
                    <xdr:rowOff>38100</xdr:rowOff>
                  </from>
                  <to>
                    <xdr:col>1</xdr:col>
                    <xdr:colOff>552450</xdr:colOff>
                    <xdr:row>57</xdr:row>
                    <xdr:rowOff>9525</xdr:rowOff>
                  </to>
                </anchor>
              </controlPr>
            </control>
          </mc:Choice>
        </mc:AlternateContent>
        <mc:AlternateContent xmlns:mc="http://schemas.openxmlformats.org/markup-compatibility/2006">
          <mc:Choice Requires="x14">
            <control shapeId="8264" r:id="rId75" name="Check Box 72">
              <controlPr defaultSize="0" autoFill="0" autoLine="0" autoPict="0">
                <anchor moveWithCells="1">
                  <from>
                    <xdr:col>3</xdr:col>
                    <xdr:colOff>285750</xdr:colOff>
                    <xdr:row>47</xdr:row>
                    <xdr:rowOff>38100</xdr:rowOff>
                  </from>
                  <to>
                    <xdr:col>3</xdr:col>
                    <xdr:colOff>552450</xdr:colOff>
                    <xdr:row>48</xdr:row>
                    <xdr:rowOff>9525</xdr:rowOff>
                  </to>
                </anchor>
              </controlPr>
            </control>
          </mc:Choice>
        </mc:AlternateContent>
        <mc:AlternateContent xmlns:mc="http://schemas.openxmlformats.org/markup-compatibility/2006">
          <mc:Choice Requires="x14">
            <control shapeId="8265" r:id="rId76" name="Check Box 73">
              <controlPr defaultSize="0" autoFill="0" autoLine="0" autoPict="0">
                <anchor moveWithCells="1">
                  <from>
                    <xdr:col>3</xdr:col>
                    <xdr:colOff>285750</xdr:colOff>
                    <xdr:row>48</xdr:row>
                    <xdr:rowOff>38100</xdr:rowOff>
                  </from>
                  <to>
                    <xdr:col>3</xdr:col>
                    <xdr:colOff>552450</xdr:colOff>
                    <xdr:row>49</xdr:row>
                    <xdr:rowOff>9525</xdr:rowOff>
                  </to>
                </anchor>
              </controlPr>
            </control>
          </mc:Choice>
        </mc:AlternateContent>
        <mc:AlternateContent xmlns:mc="http://schemas.openxmlformats.org/markup-compatibility/2006">
          <mc:Choice Requires="x14">
            <control shapeId="8266" r:id="rId77" name="Check Box 74">
              <controlPr defaultSize="0" autoFill="0" autoLine="0" autoPict="0">
                <anchor moveWithCells="1">
                  <from>
                    <xdr:col>3</xdr:col>
                    <xdr:colOff>285750</xdr:colOff>
                    <xdr:row>50</xdr:row>
                    <xdr:rowOff>38100</xdr:rowOff>
                  </from>
                  <to>
                    <xdr:col>3</xdr:col>
                    <xdr:colOff>552450</xdr:colOff>
                    <xdr:row>51</xdr:row>
                    <xdr:rowOff>0</xdr:rowOff>
                  </to>
                </anchor>
              </controlPr>
            </control>
          </mc:Choice>
        </mc:AlternateContent>
        <mc:AlternateContent xmlns:mc="http://schemas.openxmlformats.org/markup-compatibility/2006">
          <mc:Choice Requires="x14">
            <control shapeId="8267" r:id="rId78" name="Check Box 75">
              <controlPr defaultSize="0" autoFill="0" autoLine="0" autoPict="0">
                <anchor moveWithCells="1">
                  <from>
                    <xdr:col>3</xdr:col>
                    <xdr:colOff>285750</xdr:colOff>
                    <xdr:row>49</xdr:row>
                    <xdr:rowOff>38100</xdr:rowOff>
                  </from>
                  <to>
                    <xdr:col>3</xdr:col>
                    <xdr:colOff>552450</xdr:colOff>
                    <xdr:row>50</xdr:row>
                    <xdr:rowOff>0</xdr:rowOff>
                  </to>
                </anchor>
              </controlPr>
            </control>
          </mc:Choice>
        </mc:AlternateContent>
        <mc:AlternateContent xmlns:mc="http://schemas.openxmlformats.org/markup-compatibility/2006">
          <mc:Choice Requires="x14">
            <control shapeId="8268" r:id="rId79" name="Check Box 76">
              <controlPr defaultSize="0" autoFill="0" autoLine="0" autoPict="0">
                <anchor moveWithCells="1">
                  <from>
                    <xdr:col>3</xdr:col>
                    <xdr:colOff>285750</xdr:colOff>
                    <xdr:row>51</xdr:row>
                    <xdr:rowOff>38100</xdr:rowOff>
                  </from>
                  <to>
                    <xdr:col>3</xdr:col>
                    <xdr:colOff>552450</xdr:colOff>
                    <xdr:row>52</xdr:row>
                    <xdr:rowOff>9525</xdr:rowOff>
                  </to>
                </anchor>
              </controlPr>
            </control>
          </mc:Choice>
        </mc:AlternateContent>
        <mc:AlternateContent xmlns:mc="http://schemas.openxmlformats.org/markup-compatibility/2006">
          <mc:Choice Requires="x14">
            <control shapeId="8269" r:id="rId80" name="Check Box 77">
              <controlPr defaultSize="0" autoFill="0" autoLine="0" autoPict="0">
                <anchor moveWithCells="1">
                  <from>
                    <xdr:col>3</xdr:col>
                    <xdr:colOff>285750</xdr:colOff>
                    <xdr:row>52</xdr:row>
                    <xdr:rowOff>38100</xdr:rowOff>
                  </from>
                  <to>
                    <xdr:col>3</xdr:col>
                    <xdr:colOff>552450</xdr:colOff>
                    <xdr:row>53</xdr:row>
                    <xdr:rowOff>9525</xdr:rowOff>
                  </to>
                </anchor>
              </controlPr>
            </control>
          </mc:Choice>
        </mc:AlternateContent>
        <mc:AlternateContent xmlns:mc="http://schemas.openxmlformats.org/markup-compatibility/2006">
          <mc:Choice Requires="x14">
            <control shapeId="8270" r:id="rId81" name="Check Box 78">
              <controlPr defaultSize="0" autoFill="0" autoLine="0" autoPict="0">
                <anchor moveWithCells="1">
                  <from>
                    <xdr:col>6</xdr:col>
                    <xdr:colOff>285750</xdr:colOff>
                    <xdr:row>47</xdr:row>
                    <xdr:rowOff>38100</xdr:rowOff>
                  </from>
                  <to>
                    <xdr:col>6</xdr:col>
                    <xdr:colOff>552450</xdr:colOff>
                    <xdr:row>48</xdr:row>
                    <xdr:rowOff>9525</xdr:rowOff>
                  </to>
                </anchor>
              </controlPr>
            </control>
          </mc:Choice>
        </mc:AlternateContent>
        <mc:AlternateContent xmlns:mc="http://schemas.openxmlformats.org/markup-compatibility/2006">
          <mc:Choice Requires="x14">
            <control shapeId="8271" r:id="rId82" name="Check Box 79">
              <controlPr defaultSize="0" autoFill="0" autoLine="0" autoPict="0">
                <anchor moveWithCells="1">
                  <from>
                    <xdr:col>6</xdr:col>
                    <xdr:colOff>285750</xdr:colOff>
                    <xdr:row>48</xdr:row>
                    <xdr:rowOff>38100</xdr:rowOff>
                  </from>
                  <to>
                    <xdr:col>6</xdr:col>
                    <xdr:colOff>552450</xdr:colOff>
                    <xdr:row>49</xdr:row>
                    <xdr:rowOff>9525</xdr:rowOff>
                  </to>
                </anchor>
              </controlPr>
            </control>
          </mc:Choice>
        </mc:AlternateContent>
        <mc:AlternateContent xmlns:mc="http://schemas.openxmlformats.org/markup-compatibility/2006">
          <mc:Choice Requires="x14">
            <control shapeId="8272" r:id="rId83" name="Check Box 80">
              <controlPr defaultSize="0" autoFill="0" autoLine="0" autoPict="0">
                <anchor moveWithCells="1">
                  <from>
                    <xdr:col>6</xdr:col>
                    <xdr:colOff>285750</xdr:colOff>
                    <xdr:row>50</xdr:row>
                    <xdr:rowOff>38100</xdr:rowOff>
                  </from>
                  <to>
                    <xdr:col>6</xdr:col>
                    <xdr:colOff>552450</xdr:colOff>
                    <xdr:row>51</xdr:row>
                    <xdr:rowOff>0</xdr:rowOff>
                  </to>
                </anchor>
              </controlPr>
            </control>
          </mc:Choice>
        </mc:AlternateContent>
        <mc:AlternateContent xmlns:mc="http://schemas.openxmlformats.org/markup-compatibility/2006">
          <mc:Choice Requires="x14">
            <control shapeId="8273" r:id="rId84" name="Check Box 81">
              <controlPr defaultSize="0" autoFill="0" autoLine="0" autoPict="0">
                <anchor moveWithCells="1">
                  <from>
                    <xdr:col>6</xdr:col>
                    <xdr:colOff>285750</xdr:colOff>
                    <xdr:row>49</xdr:row>
                    <xdr:rowOff>38100</xdr:rowOff>
                  </from>
                  <to>
                    <xdr:col>6</xdr:col>
                    <xdr:colOff>552450</xdr:colOff>
                    <xdr:row>50</xdr:row>
                    <xdr:rowOff>0</xdr:rowOff>
                  </to>
                </anchor>
              </controlPr>
            </control>
          </mc:Choice>
        </mc:AlternateContent>
        <mc:AlternateContent xmlns:mc="http://schemas.openxmlformats.org/markup-compatibility/2006">
          <mc:Choice Requires="x14">
            <control shapeId="8274" r:id="rId85" name="Check Box 82">
              <controlPr defaultSize="0" autoFill="0" autoLine="0" autoPict="0">
                <anchor moveWithCells="1">
                  <from>
                    <xdr:col>4</xdr:col>
                    <xdr:colOff>2314575</xdr:colOff>
                    <xdr:row>37</xdr:row>
                    <xdr:rowOff>0</xdr:rowOff>
                  </from>
                  <to>
                    <xdr:col>5</xdr:col>
                    <xdr:colOff>47625</xdr:colOff>
                    <xdr:row>37</xdr:row>
                    <xdr:rowOff>152400</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4A39D-A414-478C-97AA-B911A9426039}">
  <dimension ref="A1:C56"/>
  <sheetViews>
    <sheetView showGridLines="0" workbookViewId="0">
      <selection activeCell="A57" sqref="A57"/>
    </sheetView>
  </sheetViews>
  <sheetFormatPr defaultRowHeight="15" x14ac:dyDescent="0.25"/>
  <cols>
    <col min="1" max="1" width="10" customWidth="1"/>
    <col min="2" max="2" width="8.140625" customWidth="1"/>
    <col min="3" max="3" width="80.85546875" customWidth="1"/>
  </cols>
  <sheetData>
    <row r="1" spans="1:3" ht="23.25" x14ac:dyDescent="0.25">
      <c r="A1" s="154" t="s">
        <v>431</v>
      </c>
      <c r="B1" s="154"/>
      <c r="C1" s="154"/>
    </row>
    <row r="2" spans="1:3" x14ac:dyDescent="0.25">
      <c r="A2" s="155" t="s">
        <v>432</v>
      </c>
      <c r="B2" s="155"/>
      <c r="C2" s="155"/>
    </row>
    <row r="3" spans="1:3" x14ac:dyDescent="0.25">
      <c r="A3" s="89"/>
      <c r="B3" s="89"/>
      <c r="C3" s="89"/>
    </row>
    <row r="4" spans="1:3" x14ac:dyDescent="0.25">
      <c r="A4" s="90" t="s">
        <v>433</v>
      </c>
      <c r="B4" s="91" t="s">
        <v>434</v>
      </c>
      <c r="C4" s="91" t="s">
        <v>435</v>
      </c>
    </row>
    <row r="5" spans="1:3" x14ac:dyDescent="0.25">
      <c r="A5" s="152" t="s">
        <v>436</v>
      </c>
      <c r="B5" s="153"/>
      <c r="C5" s="153"/>
    </row>
    <row r="6" spans="1:3" ht="15.75" x14ac:dyDescent="0.25">
      <c r="A6" s="92"/>
      <c r="B6" s="93" t="s">
        <v>437</v>
      </c>
      <c r="C6" s="94" t="s">
        <v>438</v>
      </c>
    </row>
    <row r="7" spans="1:3" ht="15.75" x14ac:dyDescent="0.25">
      <c r="A7" s="92"/>
      <c r="B7" s="93" t="s">
        <v>439</v>
      </c>
      <c r="C7" s="94" t="s">
        <v>440</v>
      </c>
    </row>
    <row r="8" spans="1:3" ht="15.75" x14ac:dyDescent="0.25">
      <c r="A8" s="92"/>
      <c r="B8" s="93" t="s">
        <v>78</v>
      </c>
      <c r="C8" s="94" t="s">
        <v>441</v>
      </c>
    </row>
    <row r="9" spans="1:3" x14ac:dyDescent="0.25">
      <c r="A9" s="95"/>
      <c r="B9" s="96"/>
      <c r="C9" s="96"/>
    </row>
    <row r="10" spans="1:3" x14ac:dyDescent="0.25">
      <c r="A10" s="152" t="s">
        <v>442</v>
      </c>
      <c r="B10" s="153"/>
      <c r="C10" s="153"/>
    </row>
    <row r="11" spans="1:3" ht="15.75" x14ac:dyDescent="0.25">
      <c r="A11" s="92"/>
      <c r="B11" s="93" t="s">
        <v>437</v>
      </c>
      <c r="C11" s="94" t="s">
        <v>443</v>
      </c>
    </row>
    <row r="12" spans="1:3" ht="15.75" x14ac:dyDescent="0.25">
      <c r="A12" s="92"/>
      <c r="B12" s="93" t="s">
        <v>439</v>
      </c>
      <c r="C12" s="94" t="s">
        <v>444</v>
      </c>
    </row>
    <row r="13" spans="1:3" ht="15.75" x14ac:dyDescent="0.25">
      <c r="A13" s="92"/>
      <c r="B13" s="93" t="s">
        <v>78</v>
      </c>
      <c r="C13" s="94" t="s">
        <v>445</v>
      </c>
    </row>
    <row r="14" spans="1:3" x14ac:dyDescent="0.25">
      <c r="A14" s="95"/>
      <c r="B14" s="97" t="s">
        <v>80</v>
      </c>
      <c r="C14" s="98" t="s">
        <v>446</v>
      </c>
    </row>
    <row r="15" spans="1:3" x14ac:dyDescent="0.25">
      <c r="A15" s="152" t="s">
        <v>447</v>
      </c>
      <c r="B15" s="153"/>
      <c r="C15" s="153"/>
    </row>
    <row r="16" spans="1:3" ht="15.75" x14ac:dyDescent="0.25">
      <c r="A16" s="92"/>
      <c r="B16" s="93" t="s">
        <v>437</v>
      </c>
      <c r="C16" s="94" t="s">
        <v>448</v>
      </c>
    </row>
    <row r="17" spans="1:3" ht="15.75" x14ac:dyDescent="0.25">
      <c r="A17" s="92"/>
      <c r="B17" s="93" t="s">
        <v>439</v>
      </c>
      <c r="C17" s="94" t="s">
        <v>449</v>
      </c>
    </row>
    <row r="18" spans="1:3" ht="15.75" x14ac:dyDescent="0.25">
      <c r="A18" s="92"/>
      <c r="B18" s="93" t="s">
        <v>78</v>
      </c>
      <c r="C18" s="94" t="s">
        <v>450</v>
      </c>
    </row>
    <row r="19" spans="1:3" x14ac:dyDescent="0.25">
      <c r="A19" s="95"/>
      <c r="B19" s="96"/>
      <c r="C19" s="96"/>
    </row>
    <row r="20" spans="1:3" x14ac:dyDescent="0.25">
      <c r="A20" s="152" t="s">
        <v>451</v>
      </c>
      <c r="B20" s="153"/>
      <c r="C20" s="153"/>
    </row>
    <row r="21" spans="1:3" ht="15.75" x14ac:dyDescent="0.25">
      <c r="A21" s="92"/>
      <c r="B21" s="93" t="s">
        <v>437</v>
      </c>
      <c r="C21" s="94" t="s">
        <v>452</v>
      </c>
    </row>
    <row r="22" spans="1:3" ht="15.75" x14ac:dyDescent="0.25">
      <c r="A22" s="92"/>
      <c r="B22" s="93" t="s">
        <v>439</v>
      </c>
      <c r="C22" s="94" t="s">
        <v>453</v>
      </c>
    </row>
    <row r="23" spans="1:3" ht="15.75" x14ac:dyDescent="0.25">
      <c r="A23" s="92"/>
      <c r="B23" s="93" t="s">
        <v>78</v>
      </c>
      <c r="C23" s="94" t="s">
        <v>454</v>
      </c>
    </row>
    <row r="24" spans="1:3" x14ac:dyDescent="0.25">
      <c r="A24" s="95"/>
      <c r="B24" s="96"/>
      <c r="C24" s="96"/>
    </row>
    <row r="25" spans="1:3" x14ac:dyDescent="0.25">
      <c r="A25" s="152" t="s">
        <v>455</v>
      </c>
      <c r="B25" s="153"/>
      <c r="C25" s="153"/>
    </row>
    <row r="26" spans="1:3" ht="15.75" x14ac:dyDescent="0.25">
      <c r="A26" s="92"/>
      <c r="B26" s="93" t="s">
        <v>437</v>
      </c>
      <c r="C26" s="94" t="s">
        <v>456</v>
      </c>
    </row>
    <row r="27" spans="1:3" ht="15.75" x14ac:dyDescent="0.25">
      <c r="A27" s="92"/>
      <c r="B27" s="93" t="s">
        <v>439</v>
      </c>
      <c r="C27" s="94" t="s">
        <v>457</v>
      </c>
    </row>
    <row r="28" spans="1:3" ht="15.75" x14ac:dyDescent="0.25">
      <c r="A28" s="92"/>
      <c r="B28" s="93" t="s">
        <v>78</v>
      </c>
      <c r="C28" s="94" t="s">
        <v>458</v>
      </c>
    </row>
    <row r="29" spans="1:3" ht="30" x14ac:dyDescent="0.25">
      <c r="A29" s="95"/>
      <c r="B29" s="97" t="s">
        <v>80</v>
      </c>
      <c r="C29" s="98" t="s">
        <v>459</v>
      </c>
    </row>
    <row r="30" spans="1:3" x14ac:dyDescent="0.25">
      <c r="A30" s="152" t="s">
        <v>460</v>
      </c>
      <c r="B30" s="153"/>
      <c r="C30" s="153"/>
    </row>
    <row r="31" spans="1:3" ht="15.75" x14ac:dyDescent="0.25">
      <c r="A31" s="92"/>
      <c r="B31" s="93" t="s">
        <v>437</v>
      </c>
      <c r="C31" s="99" t="s">
        <v>461</v>
      </c>
    </row>
    <row r="32" spans="1:3" ht="15.75" x14ac:dyDescent="0.25">
      <c r="A32" s="92"/>
      <c r="B32" s="93" t="s">
        <v>439</v>
      </c>
      <c r="C32" s="99" t="s">
        <v>462</v>
      </c>
    </row>
    <row r="33" spans="1:3" ht="15.75" x14ac:dyDescent="0.25">
      <c r="A33" s="92"/>
      <c r="B33" s="93" t="s">
        <v>78</v>
      </c>
      <c r="C33" s="99" t="s">
        <v>463</v>
      </c>
    </row>
    <row r="34" spans="1:3" ht="15.75" x14ac:dyDescent="0.25">
      <c r="A34" s="92"/>
      <c r="B34" s="93" t="s">
        <v>80</v>
      </c>
      <c r="C34" s="99" t="s">
        <v>464</v>
      </c>
    </row>
    <row r="35" spans="1:3" x14ac:dyDescent="0.25">
      <c r="A35" s="95"/>
      <c r="B35" s="96"/>
      <c r="C35" s="96"/>
    </row>
    <row r="36" spans="1:3" x14ac:dyDescent="0.25">
      <c r="A36" s="152" t="s">
        <v>465</v>
      </c>
      <c r="B36" s="153"/>
      <c r="C36" s="153"/>
    </row>
    <row r="37" spans="1:3" ht="15.75" x14ac:dyDescent="0.25">
      <c r="A37" s="92"/>
      <c r="B37" s="93" t="s">
        <v>437</v>
      </c>
      <c r="C37" s="94" t="s">
        <v>466</v>
      </c>
    </row>
    <row r="38" spans="1:3" ht="15.75" x14ac:dyDescent="0.25">
      <c r="A38" s="92"/>
      <c r="B38" s="93" t="s">
        <v>439</v>
      </c>
      <c r="C38" s="94" t="s">
        <v>467</v>
      </c>
    </row>
    <row r="39" spans="1:3" ht="15.75" x14ac:dyDescent="0.25">
      <c r="A39" s="92"/>
      <c r="B39" s="93" t="s">
        <v>78</v>
      </c>
      <c r="C39" s="94" t="s">
        <v>468</v>
      </c>
    </row>
    <row r="40" spans="1:3" ht="15.75" x14ac:dyDescent="0.25">
      <c r="A40" s="92"/>
      <c r="B40" s="93" t="s">
        <v>80</v>
      </c>
      <c r="C40" s="94" t="s">
        <v>469</v>
      </c>
    </row>
    <row r="41" spans="1:3" x14ac:dyDescent="0.25">
      <c r="A41" s="95"/>
      <c r="B41" s="96"/>
      <c r="C41" s="96"/>
    </row>
    <row r="42" spans="1:3" x14ac:dyDescent="0.25">
      <c r="A42" s="152" t="s">
        <v>470</v>
      </c>
      <c r="B42" s="153"/>
      <c r="C42" s="153"/>
    </row>
    <row r="43" spans="1:3" ht="15.75" x14ac:dyDescent="0.25">
      <c r="A43" s="92"/>
      <c r="B43" s="93" t="s">
        <v>437</v>
      </c>
      <c r="C43" s="94" t="s">
        <v>471</v>
      </c>
    </row>
    <row r="44" spans="1:3" ht="15.75" x14ac:dyDescent="0.25">
      <c r="A44" s="92"/>
      <c r="B44" s="93" t="s">
        <v>439</v>
      </c>
      <c r="C44" s="94" t="s">
        <v>472</v>
      </c>
    </row>
    <row r="45" spans="1:3" ht="15.75" x14ac:dyDescent="0.25">
      <c r="A45" s="92"/>
      <c r="B45" s="93" t="s">
        <v>78</v>
      </c>
      <c r="C45" s="94" t="s">
        <v>473</v>
      </c>
    </row>
    <row r="46" spans="1:3" ht="15.75" x14ac:dyDescent="0.25">
      <c r="A46" s="100"/>
      <c r="B46" s="102" t="s">
        <v>80</v>
      </c>
      <c r="C46" s="104" t="s">
        <v>474</v>
      </c>
    </row>
    <row r="47" spans="1:3" ht="14.45" customHeight="1" x14ac:dyDescent="0.25">
      <c r="A47" s="152" t="s">
        <v>475</v>
      </c>
      <c r="B47" s="153"/>
      <c r="C47" s="153"/>
    </row>
    <row r="48" spans="1:3" ht="15.75" x14ac:dyDescent="0.25">
      <c r="A48" s="92"/>
      <c r="B48" s="93" t="s">
        <v>437</v>
      </c>
      <c r="C48" s="99">
        <v>141789</v>
      </c>
    </row>
    <row r="49" spans="1:3" ht="15.75" x14ac:dyDescent="0.25">
      <c r="A49" s="92"/>
      <c r="B49" s="93" t="s">
        <v>439</v>
      </c>
      <c r="C49" s="101">
        <v>141788</v>
      </c>
    </row>
    <row r="50" spans="1:3" ht="15.75" x14ac:dyDescent="0.25">
      <c r="A50" s="92"/>
      <c r="B50" s="93" t="s">
        <v>78</v>
      </c>
      <c r="C50" s="99">
        <v>141788.37</v>
      </c>
    </row>
    <row r="51" spans="1:3" ht="15.75" x14ac:dyDescent="0.25">
      <c r="A51" s="100"/>
      <c r="B51" s="102" t="s">
        <v>80</v>
      </c>
      <c r="C51" s="103">
        <v>75150</v>
      </c>
    </row>
    <row r="52" spans="1:3" ht="14.45" customHeight="1" x14ac:dyDescent="0.25">
      <c r="A52" s="152" t="s">
        <v>476</v>
      </c>
      <c r="B52" s="153"/>
      <c r="C52" s="153"/>
    </row>
    <row r="53" spans="1:3" ht="15.75" x14ac:dyDescent="0.25">
      <c r="A53" s="92"/>
      <c r="B53" s="93" t="s">
        <v>437</v>
      </c>
      <c r="C53" s="94" t="s">
        <v>477</v>
      </c>
    </row>
    <row r="54" spans="1:3" ht="30" x14ac:dyDescent="0.25">
      <c r="A54" s="92"/>
      <c r="B54" s="93" t="s">
        <v>439</v>
      </c>
      <c r="C54" s="94" t="s">
        <v>478</v>
      </c>
    </row>
    <row r="55" spans="1:3" ht="30" x14ac:dyDescent="0.25">
      <c r="A55" s="92"/>
      <c r="B55" s="93" t="s">
        <v>78</v>
      </c>
      <c r="C55" s="94" t="s">
        <v>479</v>
      </c>
    </row>
    <row r="56" spans="1:3" ht="30" x14ac:dyDescent="0.25">
      <c r="A56" s="100"/>
      <c r="B56" s="102" t="s">
        <v>80</v>
      </c>
      <c r="C56" s="104" t="s">
        <v>480</v>
      </c>
    </row>
  </sheetData>
  <mergeCells count="12">
    <mergeCell ref="A47:C47"/>
    <mergeCell ref="A52:C52"/>
    <mergeCell ref="A25:C25"/>
    <mergeCell ref="A30:C30"/>
    <mergeCell ref="A36:C36"/>
    <mergeCell ref="A42:C42"/>
    <mergeCell ref="A20:C20"/>
    <mergeCell ref="A1:C1"/>
    <mergeCell ref="A2:C2"/>
    <mergeCell ref="A5:C5"/>
    <mergeCell ref="A10:C10"/>
    <mergeCell ref="A15:C15"/>
  </mergeCells>
  <conditionalFormatting sqref="A5:A56">
    <cfRule type="expression" priority="1">
      <formula>A5=TRUE</formula>
    </cfRule>
  </conditionalFormatting>
  <dataValidations count="1">
    <dataValidation type="list" allowBlank="1" showInputMessage="1" showErrorMessage="1" promptTitle="Select answer" prompt="Choose X to select this answer, or choose the blank option to clear it." sqref="A6:A8 A43:A46 A37:A40 A31:A34 A26:A28 A21:A23 A16:A18 A11:A13" xr:uid="{12AEB225-FDA5-4CC0-A5EB-06CD6DDCB300}">
      <formula1>",X"</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48B24D870E2CF4480FB58B8A4C8E582" ma:contentTypeVersion="3" ma:contentTypeDescription="Create a new document." ma:contentTypeScope="" ma:versionID="22d3030a0d7f1392f4e6226949aaf978">
  <xsd:schema xmlns:xsd="http://www.w3.org/2001/XMLSchema" xmlns:xs="http://www.w3.org/2001/XMLSchema" xmlns:p="http://schemas.microsoft.com/office/2006/metadata/properties" xmlns:ns2="9b7a0682-08ca-4e5a-a35e-d8d8ffefe728" targetNamespace="http://schemas.microsoft.com/office/2006/metadata/properties" ma:root="true" ma:fieldsID="c3d8606d6a6666a08a669719a982e26f" ns2:_="">
    <xsd:import namespace="9b7a0682-08ca-4e5a-a35e-d8d8ffefe72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7a0682-08ca-4e5a-a35e-d8d8ffefe7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8299337-0969-4273-B7F3-FEFA966D0CCA}">
  <ds:schemaRefs>
    <ds:schemaRef ds:uri="http://schemas.microsoft.com/sharepoint/v3/contenttype/forms"/>
  </ds:schemaRefs>
</ds:datastoreItem>
</file>

<file path=customXml/itemProps2.xml><?xml version="1.0" encoding="utf-8"?>
<ds:datastoreItem xmlns:ds="http://schemas.openxmlformats.org/officeDocument/2006/customXml" ds:itemID="{7C2B3F50-AAED-4643-AF0B-E713F9D3096B}">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D0345401-4428-4D37-B51F-2FAABDA403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7a0682-08ca-4e5a-a35e-d8d8ffefe7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Investigation Guide</vt:lpstr>
      <vt:lpstr>Party &amp; Accounts Details</vt:lpstr>
      <vt:lpstr>Accounts</vt:lpstr>
      <vt:lpstr>Event Details</vt:lpstr>
      <vt:lpstr>Transactions</vt:lpstr>
      <vt:lpstr>Support_Docs</vt:lpstr>
      <vt:lpstr>Open_Source_Research</vt:lpstr>
      <vt:lpstr>Disposition &amp; Narrative</vt:lpstr>
      <vt:lpstr>SAR Structured Form</vt:lpstr>
      <vt:lpstr>Case Study Questions</vt:lpstr>
    </vt:vector>
  </TitlesOfParts>
  <Manager/>
  <Company>KPMG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Bock, Bryan</dc:creator>
  <cp:keywords/>
  <dc:description/>
  <cp:lastModifiedBy>Patel, Sapana</cp:lastModifiedBy>
  <cp:revision/>
  <dcterms:created xsi:type="dcterms:W3CDTF">2025-10-15T19:50:31Z</dcterms:created>
  <dcterms:modified xsi:type="dcterms:W3CDTF">2026-09-29T19:45:25Z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0x010100248B24D870E2CF4480FB58B8A4C8E582</vt:lpwstr>
  </property>
  <property fmtid="{D5CDD505-2E9C-101B-9397-08002B2CF9AE}" pid="3" name="{A44787D4-0540-4523-9961-78E4036D8C6D}">
    <vt:lpwstr>{84EAF0E3-BD95-43C3-BA43-5373A4784EF2}</vt:lpwstr>
  </property>
</Properties>
</file>