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hlga\OneDrive\Desktop\AML\USA Batch - D8.30PM\Case Study\Small Case study 3\"/>
    </mc:Choice>
  </mc:AlternateContent>
  <xr:revisionPtr revIDLastSave="0" documentId="13_ncr:1_{4AE7BD3D-E7CE-4507-A9B4-A5B089FED4F6}" xr6:coauthVersionLast="47" xr6:coauthVersionMax="47" xr10:uidLastSave="{00000000-0000-0000-0000-000000000000}"/>
  <bookViews>
    <workbookView xWindow="-108" yWindow="-108" windowWidth="23256" windowHeight="12456" tabRatio="869" activeTab="5"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Transactions!$A$1:$AB$23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<sst xmlns="http://schemas.openxmlformats.org/spreadsheetml/2006/main" count="573" uniqueCount="305">
  <si>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</si>
  <si>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</si>
  <si>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</si>
  <si>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</si>
  <si>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</si>
  <si>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</si>
  <si>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</si>
  <si>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</si>
  <si>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</si>
  <si>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</si>
  <si>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</si>
  <si>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</si>
  <si>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</si>
  <si>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</si>
  <si>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</si>
  <si>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</si>
  <si>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</si>
  <si>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</si>
  <si>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</si>
  <si>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</si>
  <si>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</si>
  <si>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</si>
  <si>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</si>
  <si>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</si>
  <si>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</si>
  <si>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</si>
  <si>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</si>
  <si>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</si>
  <si>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</si>
  <si>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</si>
  <si>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</si>
  <si>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</si>
  <si>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</si>
  <si>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</si>
  <si>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</si>
  <si>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</si>
  <si>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</si>
  <si>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</si>
  <si>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</si>
  <si>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</si>
  <si>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</si>
  <si>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</si>
  <si>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</si>
  <si>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</si>
  <si>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</si>
  <si>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</si>
  <si>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</si>
  <si>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</si>
  <si>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</si>
  <si>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</si>
  <si>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</si>
  <si>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</si>
  <si>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</si>
  <si>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</si>
  <si>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</si>
  <si>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</si>
  <si>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</si>
  <si>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</si>
  <si>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</si>
  <si>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</si>
  <si>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Untagged</t>
  </si>
  <si>
    <t>Bank of America</t>
  </si>
  <si>
    <t>C</t>
  </si>
  <si>
    <t>PNC Bank</t>
  </si>
  <si>
    <t>Citibank</t>
  </si>
  <si>
    <t>Wells Fargo</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</si>
  <si>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</si>
  <si>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</si>
  <si>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</si>
  <si>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</si>
  <si>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</si>
  <si>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</si>
  <si>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</si>
  <si>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</si>
  <si>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</si>
  <si>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</si>
  <si>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</si>
  <si>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</si>
  <si>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</si>
  <si>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</si>
  <si>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</si>
  <si>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</si>
  <si>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</si>
  <si>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</si>
  <si>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</si>
  <si>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</si>
  <si>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</si>
  <si>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</si>
  <si>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</si>
  <si>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</si>
  <si>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</si>
  <si>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</si>
  <si>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</si>
  <si>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</si>
  <si>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</si>
  <si>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</si>
  <si>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</si>
  <si>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</si>
  <si>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</si>
  <si>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</si>
  <si>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</si>
  <si>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</si>
  <si>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</si>
  <si>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</si>
  <si>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</si>
  <si>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</si>
  <si>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</si>
  <si>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</si>
  <si>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</si>
  <si>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</si>
  <si>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</si>
  <si>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</si>
  <si>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</si>
  <si>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</si>
  <si>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</si>
  <si>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</si>
  <si>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</si>
  <si>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</si>
  <si>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</si>
  <si>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</si>
  <si>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</si>
  <si>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</si>
  <si>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</si>
  <si>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</si>
  <si>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</si>
  <si>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</si>
  <si>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</si>
  <si>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</si>
  <si>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</si>
  <si>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</si>
  <si>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</si>
  <si>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</si>
  <si>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</si>
  <si>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</si>
  <si>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</si>
  <si>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</si>
  <si>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</si>
  <si>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</si>
  <si>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</si>
  <si>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</si>
  <si>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</si>
  <si>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</si>
  <si>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</si>
  <si>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</si>
  <si>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</si>
  <si>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</si>
  <si>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</si>
  <si>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</si>
  <si>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</si>
  <si>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</si>
  <si>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</si>
  <si>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</si>
  <si>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</si>
  <si>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</si>
  <si>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</si>
  <si>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</si>
  <si>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</si>
  <si>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</si>
  <si>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</si>
  <si>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</si>
  <si>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</si>
  <si>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</si>
  <si>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</si>
  <si>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</si>
  <si>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</si>
  <si>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</si>
  <si>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</si>
  <si>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</si>
  <si>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</si>
  <si>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</si>
  <si>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</si>
  <si>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</si>
  <si>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Recipient Account</t>
  </si>
  <si>
    <t>P</t>
  </si>
  <si>
    <t>Daniel Reyes</t>
  </si>
  <si>
    <t>P2P</t>
  </si>
  <si>
    <t>Group 1</t>
  </si>
  <si>
    <t>ACH</t>
  </si>
  <si>
    <t>Group 2</t>
  </si>
  <si>
    <t>Capital One</t>
  </si>
  <si>
    <t>It indicates that the account should be closed immediately due to high risk.</t>
  </si>
  <si>
    <t>3312 Brookhaven Ln, Apt 7</t>
  </si>
  <si>
    <t>Charlotte, NC 28210</t>
  </si>
  <si>
    <t>704-555-0165</t>
  </si>
  <si>
    <t>(704) 555-0165</t>
  </si>
  <si>
    <t>238-61-7742</t>
  </si>
  <si>
    <t>d.reyes.nc@email.com</t>
  </si>
  <si>
    <t>Logistics Coordinator</t>
  </si>
  <si>
    <t>Piedmont Freight Solutions, Inc.</t>
  </si>
  <si>
    <t>Rapid Movement of Funds</t>
  </si>
  <si>
    <t>Payroll Credit - Piedmont Freight Solutions</t>
  </si>
  <si>
    <t>Truist Bank</t>
  </si>
  <si>
    <t>Monthly payroll credit</t>
  </si>
  <si>
    <t>Incoming Zelle Transfer - Marcus Feldner</t>
  </si>
  <si>
    <t>Marcus Feldner</t>
  </si>
  <si>
    <t>Personal Payment</t>
  </si>
  <si>
    <t>Incoming ACH Credit - Priya Raman</t>
  </si>
  <si>
    <t>Priya Raman</t>
  </si>
  <si>
    <t>JPMorgan Chase</t>
  </si>
  <si>
    <t>Services</t>
  </si>
  <si>
    <t>Outgoing Wire Transfer - Aleksei Danilov</t>
  </si>
  <si>
    <t>Aleksei Danilov</t>
  </si>
  <si>
    <t>Fifth Third Bank</t>
  </si>
  <si>
    <t>9920114873</t>
  </si>
  <si>
    <t>Incoming Zelle Transfer - Owen Blackwood</t>
  </si>
  <si>
    <t>Owen Blackwood</t>
  </si>
  <si>
    <t>Settlement</t>
  </si>
  <si>
    <t>Incoming ACH Credit - Teodora Ilic</t>
  </si>
  <si>
    <t>Teodora Ilic</t>
  </si>
  <si>
    <t>Outgoing Wire Transfer - Rustam Akhmetov</t>
  </si>
  <si>
    <t>Rustam Akhmetov</t>
  </si>
  <si>
    <t>Santander Bank N.A.</t>
  </si>
  <si>
    <t>3381007742</t>
  </si>
  <si>
    <t>Rent Payment - Brookhaven Court Apartments</t>
  </si>
  <si>
    <t>Brookhaven Court Apartments LLC</t>
  </si>
  <si>
    <t>Rent payment</t>
  </si>
  <si>
    <t>Incoming Zelle Transfer - Hassan Qureshi</t>
  </si>
  <si>
    <t>Hassan Qureshi</t>
  </si>
  <si>
    <t>TD Bank N.A.</t>
  </si>
  <si>
    <t>Incoming ACH Credit - Lena Novak</t>
  </si>
  <si>
    <t>Lena Novak</t>
  </si>
  <si>
    <t>Outgoing Wire Transfer - Serghei Bodnar</t>
  </si>
  <si>
    <t>Serghei Bodnar</t>
  </si>
  <si>
    <t>Regions Bank</t>
  </si>
  <si>
    <t>6612209934</t>
  </si>
  <si>
    <t>Incoming Zelle Transfer - Carlos Tavares</t>
  </si>
  <si>
    <t>Carlos Tavares</t>
  </si>
  <si>
    <t>Incoming ACH Credit - Nadia Farouk</t>
  </si>
  <si>
    <t>Nadia Farouk</t>
  </si>
  <si>
    <t>Santander Bank</t>
  </si>
  <si>
    <t>Outgoing Zelle Transfer - Yusuf Demirel</t>
  </si>
  <si>
    <t>Yusuf Demirel</t>
  </si>
  <si>
    <t>Incoming Zelle Transfer - Grigore Petrescu</t>
  </si>
  <si>
    <t>Grigore Petrescu</t>
  </si>
  <si>
    <t>Incoming ACH Credit - Mihail Cebotari</t>
  </si>
  <si>
    <t>Mihail Cebotari</t>
  </si>
  <si>
    <t>Outgoing Zelle Transfer - Adrian Mocanu</t>
  </si>
  <si>
    <t>Adrian Mocanu</t>
  </si>
  <si>
    <t>3312 Brookhaven Ln, Apt 7, Charlotte, NC 28210</t>
  </si>
  <si>
    <t>7045550165001</t>
  </si>
  <si>
    <t>2210 Sheridan Rd, Chicago, IL 60645</t>
  </si>
  <si>
    <t>815 Beacon St, Brookline, MA 02446</t>
  </si>
  <si>
    <t>4477 Buford Hwy NE, Atlanta, GA 30341</t>
  </si>
  <si>
    <t>Two further outgoing payments of $9,150.00 on 06/18/2026 and $8,300.00 on 07/15/2026 were sent by Zelle person-to-person transfer; no wire-level originator or beneficiary detail is recorded for a P2P transfer. See the Transactions tab.</t>
  </si>
  <si>
    <t>SUPPORTING DOCUMENTS - PAYMENT ADVICES AND DOCUMENTATION REVIEW</t>
  </si>
  <si>
    <t>Payment advices for the five alerted outgoing payments, and the result of the documentation review carried out for each.</t>
  </si>
  <si>
    <t>TRAINING SAMPLE - NOT A NEGOTIABLE INSTRUMENT</t>
  </si>
  <si>
    <t>Advice No.</t>
  </si>
  <si>
    <t>Value Date</t>
  </si>
  <si>
    <t>Channel</t>
  </si>
  <si>
    <t>Beneficiary</t>
  </si>
  <si>
    <t>Beneficiary Bank / Account</t>
  </si>
  <si>
    <t>Stated Narration</t>
  </si>
  <si>
    <t>Amount (USD)</t>
  </si>
  <si>
    <t>Supporting Documentation Held</t>
  </si>
  <si>
    <t>ADV-2026-401</t>
  </si>
  <si>
    <t>Wire transfer</t>
  </si>
  <si>
    <t>Fifth Third Bank / 9920114873</t>
  </si>
  <si>
    <t>None on file - no invoice, contract, agreement or correspondence held</t>
  </si>
  <si>
    <t>ADV-2026-402</t>
  </si>
  <si>
    <t>Santander Bank N.A. / 3381007742</t>
  </si>
  <si>
    <t>ADV-2026-403</t>
  </si>
  <si>
    <t>Regions Bank / 6612209934</t>
  </si>
  <si>
    <t>ADV-2026-404</t>
  </si>
  <si>
    <t>Zelle P2P transfer</t>
  </si>
  <si>
    <t>JPMorgan Chase / Not recorded</t>
  </si>
  <si>
    <t>ADV-2026-405</t>
  </si>
  <si>
    <t>Capital One / Not recorded</t>
  </si>
  <si>
    <t>A documentation review was carried out on 09/02/2026 for each of the ten incoming credits and each of the five outgoing payments. No invoice, contract, service agreement, loan agreement or correspondence is held on file for any of the fifteen transactions.</t>
  </si>
  <si>
    <t>NC-CLT-03</t>
  </si>
  <si>
    <t>Charlotte</t>
  </si>
  <si>
    <t>NC</t>
  </si>
  <si>
    <t>The customer's occupation as a Logistics Coordinator and his address in Charlotte, NC.</t>
  </si>
  <si>
    <t>Ten credits of $2,000.00 to $4,500.00 received from ten unrelated individuals, each group of credits followed within one to two days by a single larger payment to a further unrelated individual, leaving the balance between $930.00 and $5,080.00.</t>
  </si>
  <si>
    <t>The single rent payment of $1,650.00 recorded in the review period.</t>
  </si>
  <si>
    <t>Why is the customer's salaried profile a critical piece of information in this investigation?</t>
  </si>
  <si>
    <t>It records payroll of $19,500.00 for the period as the only documented source of income, and nothing on file explains the $28,500.00 received from ten unrelated individuals or the $43,350.00 paid to five others.</t>
  </si>
  <si>
    <t>It shows that the customer can afford to send wire transfers.</t>
  </si>
  <si>
    <t>Funds arrive from multiple unrelated senders and leave to different unrelated beneficiaries within one to two days, leaving a consistently low balance. This is best described as:</t>
  </si>
  <si>
    <t>Normal peer-to-peer activity between friends and colleagues.</t>
  </si>
  <si>
    <t>Rapid movement of funds, with the account used as an intermediary between parties unrelated to the customer.</t>
  </si>
  <si>
    <t>Structuring of currency deposits below the reporting threshold.</t>
  </si>
  <si>
    <t>The narrations “Personal Payment”, “Services” and “Settlement” appear on both the incoming and the outgoing side. Why does that matter to the review?</t>
  </si>
  <si>
    <t>It confirms that the transactions are legitimate business payments.</t>
  </si>
  <si>
    <t>The narrations identify no service performed, no contract and no counterparty relationship, and no invoice, contract or agreement is held on file for any of the fifteen transactions.</t>
  </si>
  <si>
    <t>It shows only that the customer was careless in completing the payment forms.</t>
  </si>
  <si>
    <t>Close the alert, as the customer is salaried and the account was never overdrawn.</t>
  </si>
  <si>
    <t>Contact the customer to ask for clarification on the source of the incoming transfers.</t>
  </si>
  <si>
    <t>Escalate the case and recommend filing a Suspicious Activity Report (SAR) based on the combined red flags.</t>
  </si>
  <si>
    <t>What is the total dollar amount received from the ten unrelated individuals over the review period?</t>
  </si>
  <si>
    <t>a) $48,000</t>
  </si>
  <si>
    <t>b) $28,500</t>
  </si>
  <si>
    <t>c) $43,350</t>
  </si>
  <si>
    <t>d) $19,500</t>
  </si>
  <si>
    <t>How many days elapsed between the last incoming credit in each cycle and the outgoing payment that followed it?</t>
  </si>
  <si>
    <t>a) One to two days</t>
  </si>
  <si>
    <t>b) Seven to ten days</t>
  </si>
  <si>
    <t>c) Thirty days</t>
  </si>
  <si>
    <t>d) The interval varied between one and ninety days</t>
  </si>
  <si>
    <t>Field 29 of the SAR reports $28,500.00 rather than the $43,350.00 paid out or the $71,850.00 sum of both. Why?</t>
  </si>
  <si>
    <t>a) Because $28,500.00 is the smallest figure available in the case.</t>
  </si>
  <si>
    <t>b) Because the reported amount is the unexplained funds that passed through the account, counted once; the outgoing payments are largely the same funds leaving and are described in the narrative instead.</t>
  </si>
  <si>
    <t>c) Because only incoming transactions may be reported on a SAR.</t>
  </si>
  <si>
    <t>d) Because the outgoing payments were not considered suspicious.</t>
  </si>
  <si>
    <t>Bank is filing SAR on Daniel Reyes to report rapid movement of funds through a personal checking account between 03/09/2026 and 07/15/2026 totaling $71,850.00.
This case was generated due to automated monitoring alerts for rapid movement of funds on the personal checking account of Daniel Reyes (#7045550165001), in which incoming credits from unrelated individuals were followed within one to two days by larger outgoing payments to further unrelated individuals. The account activity for the period 03/01/2026 to 08/31/2026 was reviewed.
The customer, Daniel Reyes (DOB 11/06/1991), resides at 3312 Brookhaven Ln, Apt 7, Charlotte, North Carolina 28210. Internal records list his occupation as Logistics Coordinator and his employer as Piedmont Freight Solutions, Inc. The account was opened on 02/19/2019. No business account, business interest, self-employment, consultancy or additional source of income is recorded on file.
Total credits to the account during the review period were $48,000.00 and total debits were $45,000.00. The credits comprise 6 payroll credits by ACH from Piedmont Freight Solutions, Inc. of $3,250.00 each, totaling $19,500.00, and the 10 alerted third-party credits totaling $28,500.00. The debits comprise the 5 alerted outgoing payments totaling $43,350.00 and one rent payment of $1,650.00 on 05/02/2026 to Brookhaven Court Apartments. That rent payment is the only living-expense debit recorded on the account during the review period.
The alerted credits are 10 incoming transfers totaling $28,500.00, categorized as Group 1, received from 10 different individuals at 10 different US banks, by ACH and by Zelle person-to-person transfer. The individual amounts range from $2,000.00 to $4,500.00:
$4,500.00 on 03/09/2026 from Marcus Feldner (Wells Fargo), received by Zelle person-to-person transfer, narration "Personal Payment".
$3,800.00 on 03/10/2026 from Priya Raman (JPMorgan Chase), received by ACH credit, narration "Services".
$3,200.00 on 04/06/2026 from Owen Blackwood (PNC Bank), received by Zelle person-to-person transfer, narration "Settlement".
$2,900.00 on 04/07/2026 from Teodora Ilic (Citibank), received by ACH credit, narration "Personal Payment".
$2,750.00 on 05/11/2026 from Hassan Qureshi (TD Bank N.A.), received by Zelle person-to-person transfer, narration "Services".
$2,600.00 on 05/12/2026 from Lena Novak (Truist Bank), received by ACH credit, narration "Settlement".
$2,450.00 on 06/15/2026 from Carlos Tavares (Capital One), received by Zelle person-to-person transfer, narration "Personal Payment".
$2,300.00 on 06/16/2026 from Nadia Farouk (Santander Bank), received by ACH credit, narration "Services".
$2,000.00 on 07/13/2026 from Grigore Petrescu (Fifth Third Bank), received by Zelle person-to-person transfer, narration "Settlement".
$2,000.00 on 07/14/2026 from Mihail Cebotari (Regions Bank), received by ACH credit, narration "Personal Payment".
The narrations recorded on these credits are "Personal Payment" on 4 credits, "Services" on 3 credits and "Settlement" on 3 credits. No narration identifies a service performed, a contract, an invoice or the basis of any payment.
The alerted debits are 5 outgoing payments totaling $43,350.00, categorized as Group 2, sent to 5 further individuals, none of whom is among the 10 remitters. Three were sent by outgoing wire transfer and two by Zelle person-to-person transfer. The individual amounts range from $8,300.00 to $9,150.00:
$8,600.00 on 03/11/2026 to Aleksei Danilov, 2210 Sheridan Rd, Chicago, IL 60645, account 9920114873 at Fifth Third Bank, sent by outgoing wire transfer, narration "Personal Payment".
$8,400.00 on 04/09/2026 to Rustam Akhmetov, 815 Beacon St, Brookline, MA 02446, account 3381007742 at Santander Bank N.A., sent by outgoing wire transfer, narration "Services".
$8,900.00 on 05/13/2026 to Serghei Bodnar, 4477 Buford Hwy NE, Atlanta, GA 30341, account 6612209934 at Regions Bank, sent by outgoing wire transfer, narration "Settlement".
$9,150.00 on 06/18/2026 to Yusuf Demirel, Not recorded - P2P transfer, account Not recorded at JPMorgan Chase, sent by Zelle person-to-person transfer, narration "Personal Payment".
$8,300.00 on 07/15/2026 to Adrian Mocanu, Not recorded - P2P transfer, account Not recorded at Capital One, sent by Zelle person-to-person transfer, narration "Services".
The narrations recorded on these payments are "Personal Payment" on 2 payments, "Services" on 2 payments and "Settlement" on 1 payment, matching the narrations recorded on the incoming credits.
The credits and the payments occur in five cycles. In each cycle the outgoing payment follows the last incoming credit of that cycle by one or two days: 03/10/2026 to 03/11/2026 (1 day); 04/07/2026 to 04/09/2026 (2 days); 05/12/2026 to 05/13/2026 (1 day); 06/16/2026 to 06/18/2026 (2 days); and 07/14/2026 to 07/15/2026 (1 day). The account balance immediately before each outgoing payment was $12,730.00, $13,480.00, $12,030.00, $11,130.00 and $9,230.00 respectively. Immediately after each outgoing payment the balance was $4,130.00, $5,080.00, $3,130.00, $1,980.00 and $930.00 respectively. The lowest balance recorded during the review period was $930.00 and the closing balance on 08/31/2026 was $4,180.00.
Each outgoing payment exceeds the third-party credits received in the same cycle. The excess is drawn from the payroll credited to the account in that month. Over the review period, $28,500.00 was received from third parties and $43,350.00 was paid out, against payroll of $19,500.00 and a single living-expense debit of $1,650.00.
Bank records hold no record of any family, employment, commercial or other relationship between the customer and any of the 10 remitters or any of the 5 beneficiaries. No prior transaction with any of these 15 counterparties is recorded on the account before 03/09/2026.
A documentation review was carried out on 09/02/2026. No invoice, contract, service agreement, loan agreement, purchase order or correspondence is held on file for any of the 10 incoming credits or any of the 5 outgoing payments.
Open-source research was conducted on all 15 counterparties. No public record was located connecting the customer to any of them, and no business, trade name or registered entity was located in the name of any of them. Sanctions and adverse media screening returned no match for the customer or for any of the 15 counterparties.
Therefore, this activity is deemed suspicious, and it is recommended to file a Suspicious Activity Report (SAR). The amount reported is $28,500.00, being the unexplained third-party funds received into the account, counted once; the $43,350.00 of outgoing payments consists largely of the same funds leaving the account, together with payroll credited in the same months, and is described above rather than added to the reported amount.
Customer Daniel Reyes (DOB 11/06/1991) is located in Charlotte, NC. Internal records list the occupation as Logistics Coordinator, employed by Piedmont Freight Solutions, Inc., and the customer has held the account since 02/19/2019.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</si>
</sst>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0.00_);[Red]\(0.00\)"/>
  </numFmts>
  <fonts count="19"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
      <sz val="11"/>
      <color rgb="FF9C0006"/>
      <name val="Aptos Narrow"/>
      <family val="2"/>
      <scheme val="minor"/>
    </font>
    <font>
      <sz val="11"/>
      <color rgb="FF9C5700"/>
      <name val="Aptos Narrow"/>
      <family val="2"/>
      <scheme val="minor"/>
    </font>
  </fonts>
  <fills count="10">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
      <patternFill patternType="solid">
        <fgColor rgb="FFFFC7CE"/>
      </patternFill>
    </fill>
    <fill>
      <patternFill patternType="solid">
        <fgColor rgb="FFFFEB9C"/>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4">
    <xf numFmtId="0" fontId="0" fillId="0" borderId="0"/>
    <xf numFmtId="164" fontId="1" fillId="0" borderId="0" applyFont="0" applyFill="0" applyBorder="0" applyAlignment="0" applyProtection="0"/>
    <xf numFmtId="0" fontId="17" fillId="8" borderId="0" applyNumberFormat="0" applyBorder="0" applyAlignment="0" applyProtection="0"/>
    <xf numFmtId="0" fontId="18" fillId="9" borderId="0" applyNumberFormat="0" applyBorder="0" applyAlignment="0" applyProtection="0"/>
  </cellStyleXfs>
  <cellXfs count="110">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5"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4"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4"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0" applyFont="1" applyAlignment="1">
      <alignment wrapText="1"/>
    </xf>
    <xf numFmtId="164" fontId="0" fillId="4" borderId="0" xfId="1" applyFont="1" applyFill="1"/>
    <xf numFmtId="0" fontId="0" fillId="5" borderId="0" xfId="0" applyFill="1"/>
    <xf numFmtId="166" fontId="0" fillId="0" borderId="0" xfId="1" applyNumberFormat="1" applyFont="1"/>
    <xf numFmtId="0" fontId="16" fillId="7" borderId="0" xfId="0" applyFont="1" applyFill="1" applyAlignment="1">
      <alignment horizontal="center" vertical="center"/>
    </xf>
    <xf numFmtId="164" fontId="17" fillId="8" borderId="0" xfId="2" applyNumberFormat="1"/>
    <xf numFmtId="164" fontId="18" fillId="9" borderId="0" xfId="3" applyNumberForma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0" fillId="0" borderId="0" xfId="0"/>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4">
    <cellStyle name="Bad" xfId="2" builtinId="27"/>
    <cellStyle name="Comma" xfId="1" builtinId="3"/>
    <cellStyle name="Neutral" xfId="3" builtinId="28"/>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defaultColWidth="8.77734375" defaultRowHeight="14.4" x14ac:dyDescent="0.3"/>
  <cols>
    <col min="1" max="1" width="24.44140625" bestFit="1" customWidth="1"/>
    <col min="2" max="2" width="15.77734375" bestFit="1" customWidth="1"/>
    <col min="3" max="3" width="6.44140625" bestFit="1" customWidth="1"/>
    <col min="4" max="4" width="33.109375" bestFit="1" customWidth="1"/>
    <col min="5" max="5" width="25.109375" bestFit="1" customWidth="1"/>
  </cols>
  <sheetData>
    <row r="1" spans="1:5" ht="21" x14ac:dyDescent="0.4">
      <c r="B1" s="43" t="s">
        <v>174</v>
      </c>
    </row>
    <row r="2" spans="1:5" x14ac:dyDescent="0.3">
      <c r="A2" s="64" t="s">
        <v>0</v>
      </c>
      <c r="B2" s="65"/>
      <c r="C2" s="66"/>
      <c r="D2" s="67" t="s">
        <v>1</v>
      </c>
      <c r="E2" s="68"/>
    </row>
    <row r="3" spans="1:5" x14ac:dyDescent="0.3">
      <c r="A3" t="s">
        <v>2</v>
      </c>
      <c r="B3" t="s">
        <v>181</v>
      </c>
      <c r="D3" t="s">
        <v>3</v>
      </c>
      <c r="E3" s="1">
        <v>43515</v>
      </c>
    </row>
    <row r="4" spans="1:5" x14ac:dyDescent="0.3">
      <c r="B4" t="s">
        <v>182</v>
      </c>
      <c r="D4" t="s">
        <v>4</v>
      </c>
      <c r="E4" t="s">
        <v>183</v>
      </c>
    </row>
    <row r="5" spans="1:5" x14ac:dyDescent="0.3">
      <c r="B5" t="s">
        <v>5</v>
      </c>
    </row>
    <row r="6" spans="1:5" x14ac:dyDescent="0.3">
      <c r="D6" s="67" t="s">
        <v>6</v>
      </c>
      <c r="E6" s="68"/>
    </row>
    <row r="7" spans="1:5" x14ac:dyDescent="0.3">
      <c r="D7" t="s">
        <v>7</v>
      </c>
      <c r="E7" t="s">
        <v>184</v>
      </c>
    </row>
    <row r="8" spans="1:5" x14ac:dyDescent="0.3">
      <c r="A8" t="s">
        <v>8</v>
      </c>
      <c r="B8" t="s">
        <v>185</v>
      </c>
      <c r="D8" t="s">
        <v>9</v>
      </c>
      <c r="E8" t="s">
        <v>186</v>
      </c>
    </row>
    <row r="9" spans="1:5" x14ac:dyDescent="0.3">
      <c r="A9" t="s">
        <v>10</v>
      </c>
      <c r="B9" s="1">
        <v>33548</v>
      </c>
    </row>
    <row r="10" spans="1:5" x14ac:dyDescent="0.3">
      <c r="A10" t="s">
        <v>11</v>
      </c>
      <c r="B10" t="s">
        <v>187</v>
      </c>
    </row>
    <row r="11" spans="1:5" x14ac:dyDescent="0.3">
      <c r="A11" t="s">
        <v>12</v>
      </c>
      <c r="B11" t="s">
        <v>188</v>
      </c>
    </row>
    <row r="16" spans="1:5" x14ac:dyDescent="0.3">
      <c r="A16" s="44" t="s">
        <v>13</v>
      </c>
      <c r="B16" s="45" t="s">
        <v>14</v>
      </c>
      <c r="C16" s="45" t="s">
        <v>15</v>
      </c>
      <c r="D16" s="45" t="s">
        <v>16</v>
      </c>
      <c r="E16" s="46" t="s">
        <v>17</v>
      </c>
    </row>
    <row r="17" spans="1:5" x14ac:dyDescent="0.3">
      <c r="A17" s="41">
        <v>7045550165001</v>
      </c>
      <c r="B17" t="s">
        <v>18</v>
      </c>
      <c r="C17" t="s">
        <v>19</v>
      </c>
      <c r="D17" s="1">
        <v>43515</v>
      </c>
    </row>
    <row r="18" spans="1:5" x14ac:dyDescent="0.3">
      <c r="A18" s="41">
        <v>7045550165002</v>
      </c>
      <c r="B18" t="s">
        <v>20</v>
      </c>
      <c r="C18" t="s">
        <v>19</v>
      </c>
      <c r="D18" s="1">
        <v>43515</v>
      </c>
    </row>
    <row r="20" spans="1:5" x14ac:dyDescent="0.3">
      <c r="A20" s="64" t="s">
        <v>21</v>
      </c>
      <c r="B20" s="65"/>
      <c r="C20" s="65"/>
      <c r="D20" s="65"/>
      <c r="E20" s="68"/>
    </row>
    <row r="21" spans="1:5" x14ac:dyDescent="0.3">
      <c r="A21" t="s">
        <v>22</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workbookViewId="0">
      <selection activeCell="A2" sqref="A2"/>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3" t="s">
        <v>174</v>
      </c>
    </row>
    <row r="2" spans="1:8" x14ac:dyDescent="0.3">
      <c r="A2" s="47" t="s">
        <v>23</v>
      </c>
      <c r="B2" s="48" t="s">
        <v>24</v>
      </c>
      <c r="C2" s="49" t="s">
        <v>25</v>
      </c>
      <c r="D2" s="47" t="s">
        <v>26</v>
      </c>
      <c r="E2" s="47" t="s">
        <v>27</v>
      </c>
      <c r="F2" s="47" t="s">
        <v>15</v>
      </c>
      <c r="G2" s="50" t="s">
        <v>16</v>
      </c>
      <c r="H2" s="50" t="s">
        <v>28</v>
      </c>
    </row>
    <row r="3" spans="1:8" x14ac:dyDescent="0.3">
      <c r="A3" t="s">
        <v>18</v>
      </c>
      <c r="B3" t="s">
        <v>29</v>
      </c>
      <c r="C3" s="41">
        <v>7045550165001</v>
      </c>
      <c r="D3" t="s">
        <v>174</v>
      </c>
      <c r="E3">
        <v>5</v>
      </c>
      <c r="F3" t="s">
        <v>19</v>
      </c>
      <c r="G3" s="1">
        <v>43515</v>
      </c>
    </row>
    <row r="4" spans="1:8" x14ac:dyDescent="0.3">
      <c r="A4" t="s">
        <v>20</v>
      </c>
      <c r="B4" t="s">
        <v>29</v>
      </c>
      <c r="C4" s="41">
        <v>7045550165002</v>
      </c>
      <c r="D4" t="s">
        <v>174</v>
      </c>
      <c r="E4">
        <v>0</v>
      </c>
      <c r="F4" t="s">
        <v>19</v>
      </c>
      <c r="G4" s="1">
        <v>43515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8"/>
  <sheetViews>
    <sheetView showGridLines="0" workbookViewId="0">
      <selection activeCell="K15" sqref="K15"/>
    </sheetView>
  </sheetViews>
  <sheetFormatPr defaultColWidth="8.77734375" defaultRowHeight="14.4" x14ac:dyDescent="0.3"/>
  <cols>
    <col min="1" max="1" width="15.109375" bestFit="1" customWidth="1"/>
    <col min="2" max="2" width="11.109375" bestFit="1" customWidth="1"/>
    <col min="3" max="3" width="16.77734375" style="41" bestFit="1" customWidth="1"/>
    <col min="4" max="4" width="10.109375" style="42" bestFit="1" customWidth="1"/>
    <col min="5" max="5" width="2.109375" bestFit="1" customWidth="1"/>
    <col min="6" max="6" width="5.109375" bestFit="1" customWidth="1"/>
  </cols>
  <sheetData>
    <row r="1" spans="1:6" x14ac:dyDescent="0.3">
      <c r="A1" s="51" t="s">
        <v>30</v>
      </c>
      <c r="B1" s="1">
        <v>46266</v>
      </c>
      <c r="C1" s="1"/>
    </row>
    <row r="3" spans="1:6" x14ac:dyDescent="0.3">
      <c r="A3" s="52" t="s">
        <v>31</v>
      </c>
      <c r="B3" s="53" t="s">
        <v>32</v>
      </c>
      <c r="C3" s="54" t="s">
        <v>23</v>
      </c>
      <c r="D3" s="55" t="s">
        <v>33</v>
      </c>
      <c r="E3" s="56"/>
      <c r="F3" s="56" t="s">
        <v>14</v>
      </c>
    </row>
    <row r="4" spans="1:6" x14ac:dyDescent="0.3">
      <c r="A4" t="s">
        <v>189</v>
      </c>
      <c r="B4" s="1">
        <v>46092</v>
      </c>
      <c r="C4" s="41">
        <v>7045550165001</v>
      </c>
      <c r="D4" s="42">
        <v>-8600</v>
      </c>
      <c r="E4" t="s">
        <v>34</v>
      </c>
      <c r="F4" t="s">
        <v>35</v>
      </c>
    </row>
    <row r="5" spans="1:6" x14ac:dyDescent="0.3">
      <c r="A5" t="s">
        <v>189</v>
      </c>
      <c r="B5" s="1">
        <v>46121</v>
      </c>
      <c r="C5" s="41">
        <v>7045550165001</v>
      </c>
      <c r="D5" s="42">
        <v>-8400</v>
      </c>
      <c r="E5" t="s">
        <v>34</v>
      </c>
      <c r="F5" t="s">
        <v>35</v>
      </c>
    </row>
    <row r="6" spans="1:6" x14ac:dyDescent="0.3">
      <c r="A6" t="s">
        <v>189</v>
      </c>
      <c r="B6" s="1">
        <v>46155</v>
      </c>
      <c r="C6" s="41">
        <v>7045550165001</v>
      </c>
      <c r="D6" s="42">
        <v>-8900</v>
      </c>
      <c r="E6" t="s">
        <v>34</v>
      </c>
      <c r="F6" t="s">
        <v>35</v>
      </c>
    </row>
    <row r="7" spans="1:6" x14ac:dyDescent="0.3">
      <c r="A7" t="s">
        <v>189</v>
      </c>
      <c r="B7" s="1">
        <v>46191</v>
      </c>
      <c r="C7" s="41">
        <v>7045550165001</v>
      </c>
      <c r="D7" s="42">
        <v>-9150</v>
      </c>
      <c r="E7" t="s">
        <v>34</v>
      </c>
      <c r="F7" t="s">
        <v>175</v>
      </c>
    </row>
    <row r="8" spans="1:6" x14ac:dyDescent="0.3">
      <c r="A8" t="s">
        <v>189</v>
      </c>
      <c r="B8" s="1">
        <v>46218</v>
      </c>
      <c r="C8" s="41">
        <v>7045550165001</v>
      </c>
      <c r="D8" s="42">
        <v>-8300</v>
      </c>
      <c r="E8" t="s">
        <v>34</v>
      </c>
      <c r="F8"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filterMode="1"/>
  <dimension ref="A1:AB23"/>
  <sheetViews>
    <sheetView workbookViewId="0">
      <pane ySplit="1" topLeftCell="A2" activePane="bottomLeft" state="frozen"/>
      <selection pane="bottomLeft" activeCell="G5" sqref="G5:G22"/>
    </sheetView>
  </sheetViews>
  <sheetFormatPr defaultColWidth="8.77734375" defaultRowHeight="14.4" x14ac:dyDescent="0.3"/>
  <cols>
    <col min="1" max="1" width="15.77734375" bestFit="1" customWidth="1"/>
    <col min="2" max="2" width="16.77734375" style="41" bestFit="1" customWidth="1"/>
    <col min="3" max="3" width="6.44140625" bestFit="1" customWidth="1"/>
    <col min="4" max="4" width="15" style="42" bestFit="1" customWidth="1"/>
    <col min="5" max="5" width="10.77734375" bestFit="1" customWidth="1"/>
    <col min="6" max="7" width="10.44140625" style="42" bestFit="1" customWidth="1"/>
    <col min="8" max="8" width="20.44140625" bestFit="1" customWidth="1"/>
    <col min="9" max="9" width="6.44140625" bestFit="1" customWidth="1"/>
    <col min="10" max="10" width="9.44140625" bestFit="1" customWidth="1"/>
    <col min="11" max="11" width="43.33203125"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36</v>
      </c>
      <c r="B1" s="41" t="s">
        <v>23</v>
      </c>
      <c r="C1" t="s">
        <v>37</v>
      </c>
      <c r="D1" s="42" t="s">
        <v>38</v>
      </c>
      <c r="E1" t="s">
        <v>32</v>
      </c>
      <c r="F1" s="42" t="s">
        <v>39</v>
      </c>
      <c r="G1" s="42" t="s">
        <v>40</v>
      </c>
      <c r="H1" t="s">
        <v>14</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172</v>
      </c>
      <c r="AB1" t="s">
        <v>59</v>
      </c>
    </row>
    <row r="2" spans="1:28" hidden="1" x14ac:dyDescent="0.3">
      <c r="A2" t="s">
        <v>174</v>
      </c>
      <c r="B2" s="41">
        <v>7045550165001</v>
      </c>
      <c r="C2" t="s">
        <v>173</v>
      </c>
      <c r="D2" s="60">
        <v>4430</v>
      </c>
      <c r="E2" s="1">
        <v>46084</v>
      </c>
      <c r="F2" s="42">
        <v>3250</v>
      </c>
      <c r="G2" s="58">
        <v>0</v>
      </c>
      <c r="H2" t="s">
        <v>177</v>
      </c>
      <c r="I2" t="s">
        <v>62</v>
      </c>
      <c r="J2" t="s">
        <v>60</v>
      </c>
      <c r="K2" t="s">
        <v>190</v>
      </c>
      <c r="U2" s="1">
        <v>46084</v>
      </c>
      <c r="V2" t="s">
        <v>188</v>
      </c>
      <c r="W2" t="s">
        <v>191</v>
      </c>
      <c r="AB2" t="s">
        <v>192</v>
      </c>
    </row>
    <row r="3" spans="1:28" hidden="1" x14ac:dyDescent="0.3">
      <c r="A3" t="s">
        <v>174</v>
      </c>
      <c r="B3" s="41">
        <v>7045550165001</v>
      </c>
      <c r="C3" t="s">
        <v>173</v>
      </c>
      <c r="D3" s="60">
        <f t="shared" ref="D3:D23" si="0">D2+F3-G3</f>
        <v>8930</v>
      </c>
      <c r="E3" s="1">
        <v>46090</v>
      </c>
      <c r="F3" s="63">
        <v>4500</v>
      </c>
      <c r="G3" s="58">
        <v>0</v>
      </c>
      <c r="H3" t="s">
        <v>175</v>
      </c>
      <c r="I3" t="s">
        <v>62</v>
      </c>
      <c r="J3" t="s">
        <v>176</v>
      </c>
      <c r="K3" t="s">
        <v>193</v>
      </c>
      <c r="U3" s="1">
        <v>46090</v>
      </c>
      <c r="V3" t="s">
        <v>194</v>
      </c>
      <c r="W3" t="s">
        <v>65</v>
      </c>
      <c r="Y3" t="s">
        <v>174</v>
      </c>
      <c r="Z3" t="s">
        <v>61</v>
      </c>
      <c r="AA3">
        <v>7045550165001</v>
      </c>
      <c r="AB3" t="s">
        <v>195</v>
      </c>
    </row>
    <row r="4" spans="1:28" hidden="1" x14ac:dyDescent="0.3">
      <c r="A4" t="s">
        <v>174</v>
      </c>
      <c r="B4" s="41">
        <v>7045550165001</v>
      </c>
      <c r="C4" t="s">
        <v>173</v>
      </c>
      <c r="D4" s="60">
        <f t="shared" si="0"/>
        <v>12730</v>
      </c>
      <c r="E4" s="1">
        <v>46091</v>
      </c>
      <c r="F4" s="63">
        <v>3800</v>
      </c>
      <c r="G4" s="58">
        <v>0</v>
      </c>
      <c r="H4" t="s">
        <v>177</v>
      </c>
      <c r="I4" t="s">
        <v>62</v>
      </c>
      <c r="J4" t="s">
        <v>176</v>
      </c>
      <c r="K4" t="s">
        <v>196</v>
      </c>
      <c r="U4" s="1">
        <v>46091</v>
      </c>
      <c r="V4" t="s">
        <v>197</v>
      </c>
      <c r="W4" t="s">
        <v>198</v>
      </c>
      <c r="Y4" t="s">
        <v>174</v>
      </c>
      <c r="Z4" t="s">
        <v>61</v>
      </c>
      <c r="AA4">
        <v>7045550165001</v>
      </c>
      <c r="AB4" t="s">
        <v>199</v>
      </c>
    </row>
    <row r="5" spans="1:28" x14ac:dyDescent="0.3">
      <c r="A5" t="s">
        <v>174</v>
      </c>
      <c r="B5" s="41">
        <v>7045550165001</v>
      </c>
      <c r="C5" t="s">
        <v>173</v>
      </c>
      <c r="D5" s="60">
        <f t="shared" si="0"/>
        <v>4130</v>
      </c>
      <c r="E5" s="1">
        <v>46092</v>
      </c>
      <c r="F5" s="42">
        <v>0</v>
      </c>
      <c r="G5" s="62">
        <v>8600</v>
      </c>
      <c r="H5" t="s">
        <v>35</v>
      </c>
      <c r="I5" t="s">
        <v>34</v>
      </c>
      <c r="J5" t="s">
        <v>178</v>
      </c>
      <c r="K5" t="s">
        <v>200</v>
      </c>
      <c r="U5" s="1">
        <v>46092</v>
      </c>
      <c r="V5" t="s">
        <v>174</v>
      </c>
      <c r="W5" t="s">
        <v>61</v>
      </c>
      <c r="X5">
        <v>7045550165001</v>
      </c>
      <c r="Y5" t="s">
        <v>201</v>
      </c>
      <c r="Z5" t="s">
        <v>202</v>
      </c>
      <c r="AA5" t="s">
        <v>203</v>
      </c>
      <c r="AB5" t="s">
        <v>195</v>
      </c>
    </row>
    <row r="6" spans="1:28" hidden="1" x14ac:dyDescent="0.3">
      <c r="A6" t="s">
        <v>174</v>
      </c>
      <c r="B6" s="41">
        <v>7045550165001</v>
      </c>
      <c r="C6" t="s">
        <v>173</v>
      </c>
      <c r="D6" s="60">
        <f t="shared" si="0"/>
        <v>7380</v>
      </c>
      <c r="E6" s="1">
        <v>46115</v>
      </c>
      <c r="F6" s="42">
        <v>3250</v>
      </c>
      <c r="G6" s="58">
        <v>0</v>
      </c>
      <c r="H6" t="s">
        <v>177</v>
      </c>
      <c r="I6" t="s">
        <v>62</v>
      </c>
      <c r="J6" t="s">
        <v>60</v>
      </c>
      <c r="K6" t="s">
        <v>190</v>
      </c>
      <c r="U6" s="1">
        <v>46115</v>
      </c>
      <c r="V6" t="s">
        <v>188</v>
      </c>
      <c r="W6" t="s">
        <v>191</v>
      </c>
      <c r="AB6" t="s">
        <v>192</v>
      </c>
    </row>
    <row r="7" spans="1:28" hidden="1" x14ac:dyDescent="0.3">
      <c r="A7" t="s">
        <v>174</v>
      </c>
      <c r="B7" s="41">
        <v>7045550165001</v>
      </c>
      <c r="C7" t="s">
        <v>173</v>
      </c>
      <c r="D7" s="60">
        <f t="shared" si="0"/>
        <v>10580</v>
      </c>
      <c r="E7" s="1">
        <v>46118</v>
      </c>
      <c r="F7" s="63">
        <v>3200</v>
      </c>
      <c r="G7" s="58">
        <v>0</v>
      </c>
      <c r="H7" t="s">
        <v>175</v>
      </c>
      <c r="I7" t="s">
        <v>62</v>
      </c>
      <c r="J7" t="s">
        <v>176</v>
      </c>
      <c r="K7" t="s">
        <v>204</v>
      </c>
      <c r="U7" s="1">
        <v>46118</v>
      </c>
      <c r="V7" t="s">
        <v>205</v>
      </c>
      <c r="W7" t="s">
        <v>63</v>
      </c>
      <c r="Y7" t="s">
        <v>174</v>
      </c>
      <c r="Z7" t="s">
        <v>61</v>
      </c>
      <c r="AA7">
        <v>7045550165001</v>
      </c>
      <c r="AB7" t="s">
        <v>206</v>
      </c>
    </row>
    <row r="8" spans="1:28" hidden="1" x14ac:dyDescent="0.3">
      <c r="A8" t="s">
        <v>174</v>
      </c>
      <c r="B8" s="41">
        <v>7045550165001</v>
      </c>
      <c r="C8" t="s">
        <v>173</v>
      </c>
      <c r="D8" s="60">
        <f t="shared" si="0"/>
        <v>13480</v>
      </c>
      <c r="E8" s="1">
        <v>46119</v>
      </c>
      <c r="F8" s="63">
        <v>2900</v>
      </c>
      <c r="G8" s="58">
        <v>0</v>
      </c>
      <c r="H8" t="s">
        <v>177</v>
      </c>
      <c r="I8" t="s">
        <v>62</v>
      </c>
      <c r="J8" t="s">
        <v>176</v>
      </c>
      <c r="K8" t="s">
        <v>207</v>
      </c>
      <c r="U8" s="1">
        <v>46119</v>
      </c>
      <c r="V8" t="s">
        <v>208</v>
      </c>
      <c r="W8" t="s">
        <v>64</v>
      </c>
      <c r="Y8" t="s">
        <v>174</v>
      </c>
      <c r="Z8" t="s">
        <v>61</v>
      </c>
      <c r="AA8">
        <v>7045550165001</v>
      </c>
      <c r="AB8" t="s">
        <v>195</v>
      </c>
    </row>
    <row r="9" spans="1:28" x14ac:dyDescent="0.3">
      <c r="A9" t="s">
        <v>174</v>
      </c>
      <c r="B9" s="41">
        <v>7045550165001</v>
      </c>
      <c r="C9" t="s">
        <v>173</v>
      </c>
      <c r="D9" s="60">
        <f t="shared" si="0"/>
        <v>5080</v>
      </c>
      <c r="E9" s="1">
        <v>46121</v>
      </c>
      <c r="F9" s="42">
        <v>0</v>
      </c>
      <c r="G9" s="62">
        <v>8400</v>
      </c>
      <c r="H9" t="s">
        <v>35</v>
      </c>
      <c r="I9" t="s">
        <v>34</v>
      </c>
      <c r="J9" t="s">
        <v>178</v>
      </c>
      <c r="K9" t="s">
        <v>209</v>
      </c>
      <c r="U9" s="1">
        <v>46121</v>
      </c>
      <c r="V9" t="s">
        <v>174</v>
      </c>
      <c r="W9" t="s">
        <v>61</v>
      </c>
      <c r="X9">
        <v>7045550165001</v>
      </c>
      <c r="Y9" t="s">
        <v>210</v>
      </c>
      <c r="Z9" t="s">
        <v>211</v>
      </c>
      <c r="AA9" t="s">
        <v>212</v>
      </c>
      <c r="AB9" t="s">
        <v>199</v>
      </c>
    </row>
    <row r="10" spans="1:28" hidden="1" x14ac:dyDescent="0.3">
      <c r="A10" t="s">
        <v>174</v>
      </c>
      <c r="B10" s="41">
        <v>7045550165001</v>
      </c>
      <c r="C10" t="s">
        <v>173</v>
      </c>
      <c r="D10" s="60">
        <f t="shared" si="0"/>
        <v>3430</v>
      </c>
      <c r="E10" s="1">
        <v>46144</v>
      </c>
      <c r="F10" s="42">
        <v>0</v>
      </c>
      <c r="G10" s="58">
        <v>1650</v>
      </c>
      <c r="H10" t="s">
        <v>177</v>
      </c>
      <c r="I10" t="s">
        <v>34</v>
      </c>
      <c r="J10" t="s">
        <v>60</v>
      </c>
      <c r="K10" t="s">
        <v>213</v>
      </c>
      <c r="U10" s="1">
        <v>46144</v>
      </c>
      <c r="V10" t="s">
        <v>174</v>
      </c>
      <c r="W10" t="s">
        <v>61</v>
      </c>
      <c r="X10">
        <v>7045550165001</v>
      </c>
      <c r="Y10" t="s">
        <v>214</v>
      </c>
      <c r="Z10" t="s">
        <v>191</v>
      </c>
      <c r="AB10" t="s">
        <v>215</v>
      </c>
    </row>
    <row r="11" spans="1:28" hidden="1" x14ac:dyDescent="0.3">
      <c r="A11" t="s">
        <v>174</v>
      </c>
      <c r="B11" s="41">
        <v>7045550165001</v>
      </c>
      <c r="C11" t="s">
        <v>173</v>
      </c>
      <c r="D11" s="60">
        <f t="shared" si="0"/>
        <v>6680</v>
      </c>
      <c r="E11" s="1">
        <v>46146</v>
      </c>
      <c r="F11" s="42">
        <v>3250</v>
      </c>
      <c r="G11" s="58">
        <v>0</v>
      </c>
      <c r="H11" t="s">
        <v>177</v>
      </c>
      <c r="I11" t="s">
        <v>62</v>
      </c>
      <c r="J11" t="s">
        <v>60</v>
      </c>
      <c r="K11" t="s">
        <v>190</v>
      </c>
      <c r="U11" s="1">
        <v>46146</v>
      </c>
      <c r="V11" t="s">
        <v>188</v>
      </c>
      <c r="W11" t="s">
        <v>191</v>
      </c>
      <c r="AB11" t="s">
        <v>192</v>
      </c>
    </row>
    <row r="12" spans="1:28" hidden="1" x14ac:dyDescent="0.3">
      <c r="A12" t="s">
        <v>174</v>
      </c>
      <c r="B12" s="41">
        <v>7045550165001</v>
      </c>
      <c r="C12" t="s">
        <v>173</v>
      </c>
      <c r="D12" s="60">
        <f t="shared" si="0"/>
        <v>9430</v>
      </c>
      <c r="E12" s="1">
        <v>46153</v>
      </c>
      <c r="F12" s="63">
        <v>2750</v>
      </c>
      <c r="G12" s="58">
        <v>0</v>
      </c>
      <c r="H12" t="s">
        <v>175</v>
      </c>
      <c r="I12" t="s">
        <v>62</v>
      </c>
      <c r="J12" t="s">
        <v>176</v>
      </c>
      <c r="K12" t="s">
        <v>216</v>
      </c>
      <c r="U12" s="1">
        <v>46153</v>
      </c>
      <c r="V12" t="s">
        <v>217</v>
      </c>
      <c r="W12" t="s">
        <v>218</v>
      </c>
      <c r="Y12" t="s">
        <v>174</v>
      </c>
      <c r="Z12" t="s">
        <v>61</v>
      </c>
      <c r="AA12">
        <v>7045550165001</v>
      </c>
      <c r="AB12" t="s">
        <v>199</v>
      </c>
    </row>
    <row r="13" spans="1:28" hidden="1" x14ac:dyDescent="0.3">
      <c r="A13" t="s">
        <v>174</v>
      </c>
      <c r="B13" s="41">
        <v>7045550165001</v>
      </c>
      <c r="C13" t="s">
        <v>173</v>
      </c>
      <c r="D13" s="60">
        <f t="shared" si="0"/>
        <v>12030</v>
      </c>
      <c r="E13" s="1">
        <v>46154</v>
      </c>
      <c r="F13" s="63">
        <v>2600</v>
      </c>
      <c r="G13" s="58">
        <v>0</v>
      </c>
      <c r="H13" t="s">
        <v>177</v>
      </c>
      <c r="I13" t="s">
        <v>62</v>
      </c>
      <c r="J13" t="s">
        <v>176</v>
      </c>
      <c r="K13" t="s">
        <v>219</v>
      </c>
      <c r="U13" s="1">
        <v>46154</v>
      </c>
      <c r="V13" t="s">
        <v>220</v>
      </c>
      <c r="W13" t="s">
        <v>191</v>
      </c>
      <c r="Y13" t="s">
        <v>174</v>
      </c>
      <c r="Z13" t="s">
        <v>61</v>
      </c>
      <c r="AA13">
        <v>7045550165001</v>
      </c>
      <c r="AB13" t="s">
        <v>206</v>
      </c>
    </row>
    <row r="14" spans="1:28" x14ac:dyDescent="0.3">
      <c r="A14" t="s">
        <v>174</v>
      </c>
      <c r="B14" s="41">
        <v>7045550165001</v>
      </c>
      <c r="C14" t="s">
        <v>173</v>
      </c>
      <c r="D14" s="60">
        <f t="shared" si="0"/>
        <v>3130</v>
      </c>
      <c r="E14" s="1">
        <v>46155</v>
      </c>
      <c r="F14" s="42">
        <v>0</v>
      </c>
      <c r="G14" s="62">
        <v>8900</v>
      </c>
      <c r="H14" t="s">
        <v>35</v>
      </c>
      <c r="I14" t="s">
        <v>34</v>
      </c>
      <c r="J14" t="s">
        <v>178</v>
      </c>
      <c r="K14" t="s">
        <v>221</v>
      </c>
      <c r="U14" s="1">
        <v>46155</v>
      </c>
      <c r="V14" t="s">
        <v>174</v>
      </c>
      <c r="W14" t="s">
        <v>61</v>
      </c>
      <c r="X14">
        <v>7045550165001</v>
      </c>
      <c r="Y14" t="s">
        <v>222</v>
      </c>
      <c r="Z14" t="s">
        <v>223</v>
      </c>
      <c r="AA14" t="s">
        <v>224</v>
      </c>
      <c r="AB14" t="s">
        <v>206</v>
      </c>
    </row>
    <row r="15" spans="1:28" hidden="1" x14ac:dyDescent="0.3">
      <c r="A15" t="s">
        <v>174</v>
      </c>
      <c r="B15" s="41">
        <v>7045550165001</v>
      </c>
      <c r="C15" t="s">
        <v>173</v>
      </c>
      <c r="D15" s="60">
        <f t="shared" si="0"/>
        <v>6380</v>
      </c>
      <c r="E15" s="1">
        <v>46176</v>
      </c>
      <c r="F15" s="42">
        <v>3250</v>
      </c>
      <c r="G15" s="58">
        <v>0</v>
      </c>
      <c r="H15" t="s">
        <v>177</v>
      </c>
      <c r="I15" t="s">
        <v>62</v>
      </c>
      <c r="J15" t="s">
        <v>60</v>
      </c>
      <c r="K15" t="s">
        <v>190</v>
      </c>
      <c r="U15" s="1">
        <v>46176</v>
      </c>
      <c r="V15" t="s">
        <v>188</v>
      </c>
      <c r="W15" t="s">
        <v>191</v>
      </c>
      <c r="AB15" t="s">
        <v>192</v>
      </c>
    </row>
    <row r="16" spans="1:28" hidden="1" x14ac:dyDescent="0.3">
      <c r="A16" t="s">
        <v>174</v>
      </c>
      <c r="B16" s="41">
        <v>7045550165001</v>
      </c>
      <c r="C16" t="s">
        <v>173</v>
      </c>
      <c r="D16" s="60">
        <f t="shared" si="0"/>
        <v>8830</v>
      </c>
      <c r="E16" s="1">
        <v>46188</v>
      </c>
      <c r="F16" s="63">
        <v>2450</v>
      </c>
      <c r="G16" s="58">
        <v>0</v>
      </c>
      <c r="H16" t="s">
        <v>175</v>
      </c>
      <c r="I16" t="s">
        <v>62</v>
      </c>
      <c r="J16" t="s">
        <v>176</v>
      </c>
      <c r="K16" t="s">
        <v>225</v>
      </c>
      <c r="U16" s="1">
        <v>46188</v>
      </c>
      <c r="V16" t="s">
        <v>226</v>
      </c>
      <c r="W16" t="s">
        <v>179</v>
      </c>
      <c r="Y16" t="s">
        <v>174</v>
      </c>
      <c r="Z16" t="s">
        <v>61</v>
      </c>
      <c r="AA16">
        <v>7045550165001</v>
      </c>
      <c r="AB16" t="s">
        <v>195</v>
      </c>
    </row>
    <row r="17" spans="1:28" hidden="1" x14ac:dyDescent="0.3">
      <c r="A17" t="s">
        <v>174</v>
      </c>
      <c r="B17" s="41">
        <v>7045550165001</v>
      </c>
      <c r="C17" t="s">
        <v>173</v>
      </c>
      <c r="D17" s="60">
        <f t="shared" si="0"/>
        <v>11130</v>
      </c>
      <c r="E17" s="1">
        <v>46189</v>
      </c>
      <c r="F17" s="63">
        <v>2300</v>
      </c>
      <c r="G17" s="58">
        <v>0</v>
      </c>
      <c r="H17" t="s">
        <v>177</v>
      </c>
      <c r="I17" t="s">
        <v>62</v>
      </c>
      <c r="J17" t="s">
        <v>176</v>
      </c>
      <c r="K17" t="s">
        <v>227</v>
      </c>
      <c r="U17" s="1">
        <v>46189</v>
      </c>
      <c r="V17" t="s">
        <v>228</v>
      </c>
      <c r="W17" t="s">
        <v>229</v>
      </c>
      <c r="Y17" t="s">
        <v>174</v>
      </c>
      <c r="Z17" t="s">
        <v>61</v>
      </c>
      <c r="AA17">
        <v>7045550165001</v>
      </c>
      <c r="AB17" t="s">
        <v>199</v>
      </c>
    </row>
    <row r="18" spans="1:28" x14ac:dyDescent="0.3">
      <c r="A18" t="s">
        <v>174</v>
      </c>
      <c r="B18" s="41">
        <v>7045550165001</v>
      </c>
      <c r="C18" t="s">
        <v>173</v>
      </c>
      <c r="D18" s="60">
        <f t="shared" si="0"/>
        <v>1980</v>
      </c>
      <c r="E18" s="1">
        <v>46191</v>
      </c>
      <c r="F18" s="42">
        <v>0</v>
      </c>
      <c r="G18" s="62">
        <v>9150</v>
      </c>
      <c r="H18" t="s">
        <v>175</v>
      </c>
      <c r="I18" t="s">
        <v>34</v>
      </c>
      <c r="J18" t="s">
        <v>178</v>
      </c>
      <c r="K18" t="s">
        <v>230</v>
      </c>
      <c r="U18" s="1">
        <v>46191</v>
      </c>
      <c r="V18" t="s">
        <v>174</v>
      </c>
      <c r="W18" t="s">
        <v>61</v>
      </c>
      <c r="X18">
        <v>7045550165001</v>
      </c>
      <c r="Y18" t="s">
        <v>231</v>
      </c>
      <c r="Z18" t="s">
        <v>198</v>
      </c>
      <c r="AB18" t="s">
        <v>195</v>
      </c>
    </row>
    <row r="19" spans="1:28" hidden="1" x14ac:dyDescent="0.3">
      <c r="A19" t="s">
        <v>174</v>
      </c>
      <c r="B19" s="41">
        <v>7045550165001</v>
      </c>
      <c r="C19" t="s">
        <v>173</v>
      </c>
      <c r="D19" s="60">
        <f t="shared" si="0"/>
        <v>5230</v>
      </c>
      <c r="E19" s="1">
        <v>46206</v>
      </c>
      <c r="F19" s="42">
        <v>3250</v>
      </c>
      <c r="G19" s="58">
        <v>0</v>
      </c>
      <c r="H19" t="s">
        <v>177</v>
      </c>
      <c r="I19" t="s">
        <v>62</v>
      </c>
      <c r="J19" t="s">
        <v>60</v>
      </c>
      <c r="K19" t="s">
        <v>190</v>
      </c>
      <c r="U19" s="1">
        <v>46206</v>
      </c>
      <c r="V19" t="s">
        <v>188</v>
      </c>
      <c r="W19" t="s">
        <v>191</v>
      </c>
      <c r="AB19" t="s">
        <v>192</v>
      </c>
    </row>
    <row r="20" spans="1:28" hidden="1" x14ac:dyDescent="0.3">
      <c r="A20" t="s">
        <v>174</v>
      </c>
      <c r="B20" s="41">
        <v>7045550165001</v>
      </c>
      <c r="C20" t="s">
        <v>173</v>
      </c>
      <c r="D20" s="60">
        <f t="shared" si="0"/>
        <v>7230</v>
      </c>
      <c r="E20" s="1">
        <v>46216</v>
      </c>
      <c r="F20" s="63">
        <v>2000</v>
      </c>
      <c r="G20" s="58">
        <v>0</v>
      </c>
      <c r="H20" t="s">
        <v>175</v>
      </c>
      <c r="I20" t="s">
        <v>62</v>
      </c>
      <c r="J20" t="s">
        <v>176</v>
      </c>
      <c r="K20" t="s">
        <v>232</v>
      </c>
      <c r="U20" s="1">
        <v>46216</v>
      </c>
      <c r="V20" t="s">
        <v>233</v>
      </c>
      <c r="W20" t="s">
        <v>202</v>
      </c>
      <c r="Y20" t="s">
        <v>174</v>
      </c>
      <c r="Z20" t="s">
        <v>61</v>
      </c>
      <c r="AA20">
        <v>7045550165001</v>
      </c>
      <c r="AB20" t="s">
        <v>206</v>
      </c>
    </row>
    <row r="21" spans="1:28" hidden="1" x14ac:dyDescent="0.3">
      <c r="A21" t="s">
        <v>174</v>
      </c>
      <c r="B21" s="41">
        <v>7045550165001</v>
      </c>
      <c r="C21" t="s">
        <v>173</v>
      </c>
      <c r="D21" s="60">
        <f t="shared" si="0"/>
        <v>9230</v>
      </c>
      <c r="E21" s="1">
        <v>46217</v>
      </c>
      <c r="F21" s="63">
        <v>2000</v>
      </c>
      <c r="G21" s="58">
        <v>0</v>
      </c>
      <c r="H21" t="s">
        <v>177</v>
      </c>
      <c r="I21" t="s">
        <v>62</v>
      </c>
      <c r="J21" t="s">
        <v>176</v>
      </c>
      <c r="K21" t="s">
        <v>234</v>
      </c>
      <c r="U21" s="1">
        <v>46217</v>
      </c>
      <c r="V21" t="s">
        <v>235</v>
      </c>
      <c r="W21" t="s">
        <v>223</v>
      </c>
      <c r="Y21" t="s">
        <v>174</v>
      </c>
      <c r="Z21" t="s">
        <v>61</v>
      </c>
      <c r="AA21">
        <v>7045550165001</v>
      </c>
      <c r="AB21" t="s">
        <v>195</v>
      </c>
    </row>
    <row r="22" spans="1:28" x14ac:dyDescent="0.3">
      <c r="A22" t="s">
        <v>174</v>
      </c>
      <c r="B22" s="41">
        <v>7045550165001</v>
      </c>
      <c r="C22" t="s">
        <v>173</v>
      </c>
      <c r="D22" s="60">
        <f t="shared" si="0"/>
        <v>930</v>
      </c>
      <c r="E22" s="1">
        <v>46218</v>
      </c>
      <c r="F22" s="42">
        <v>0</v>
      </c>
      <c r="G22" s="62">
        <v>8300</v>
      </c>
      <c r="H22" t="s">
        <v>175</v>
      </c>
      <c r="I22" t="s">
        <v>34</v>
      </c>
      <c r="J22" t="s">
        <v>178</v>
      </c>
      <c r="K22" t="s">
        <v>236</v>
      </c>
      <c r="U22" s="1">
        <v>46218</v>
      </c>
      <c r="V22" t="s">
        <v>174</v>
      </c>
      <c r="W22" t="s">
        <v>61</v>
      </c>
      <c r="X22">
        <v>7045550165001</v>
      </c>
      <c r="Y22" t="s">
        <v>237</v>
      </c>
      <c r="Z22" t="s">
        <v>179</v>
      </c>
      <c r="AB22" t="s">
        <v>199</v>
      </c>
    </row>
    <row r="23" spans="1:28" hidden="1" x14ac:dyDescent="0.3">
      <c r="A23" t="s">
        <v>174</v>
      </c>
      <c r="B23" s="41">
        <v>7045550165001</v>
      </c>
      <c r="C23" t="s">
        <v>173</v>
      </c>
      <c r="D23" s="60">
        <f t="shared" si="0"/>
        <v>4180</v>
      </c>
      <c r="E23" s="1">
        <v>46237</v>
      </c>
      <c r="F23" s="42">
        <v>3250</v>
      </c>
      <c r="G23" s="58">
        <v>0</v>
      </c>
      <c r="H23" t="s">
        <v>177</v>
      </c>
      <c r="I23" t="s">
        <v>62</v>
      </c>
      <c r="J23" t="s">
        <v>60</v>
      </c>
      <c r="K23" t="s">
        <v>190</v>
      </c>
      <c r="U23" s="1">
        <v>46237</v>
      </c>
      <c r="V23" t="s">
        <v>188</v>
      </c>
      <c r="W23" t="s">
        <v>191</v>
      </c>
      <c r="AB23" t="s">
        <v>192</v>
      </c>
    </row>
  </sheetData>
  <autoFilter ref="A1:AB23" xr:uid="{5611D810-DAFA-4F31-B6DD-45D854AF5F85}">
    <filterColumn colId="8">
      <filters>
        <filter val="D"/>
      </filters>
    </filterColumn>
    <filterColumn colId="9">
      <filters>
        <filter val="Group 2"/>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6"/>
  <sheetViews>
    <sheetView showGridLines="0" workbookViewId="0"/>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7" t="s">
        <v>32</v>
      </c>
      <c r="B1" s="48" t="s">
        <v>66</v>
      </c>
      <c r="C1" s="49" t="s">
        <v>67</v>
      </c>
      <c r="D1" s="47" t="s">
        <v>68</v>
      </c>
      <c r="E1" s="47" t="s">
        <v>69</v>
      </c>
      <c r="F1" s="47" t="s">
        <v>70</v>
      </c>
      <c r="G1" s="50" t="s">
        <v>71</v>
      </c>
      <c r="H1" s="50" t="s">
        <v>72</v>
      </c>
      <c r="I1" s="47" t="s">
        <v>73</v>
      </c>
      <c r="J1" s="48" t="s">
        <v>74</v>
      </c>
      <c r="K1" s="49" t="s">
        <v>75</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3">
      <c r="A2" s="1">
        <v>46092</v>
      </c>
      <c r="B2" t="s">
        <v>174</v>
      </c>
      <c r="C2" t="s">
        <v>238</v>
      </c>
      <c r="D2" t="s">
        <v>61</v>
      </c>
      <c r="E2" s="41" t="s">
        <v>239</v>
      </c>
      <c r="F2" t="s">
        <v>195</v>
      </c>
      <c r="G2" t="s">
        <v>201</v>
      </c>
      <c r="H2" t="s">
        <v>240</v>
      </c>
      <c r="I2" t="s">
        <v>202</v>
      </c>
      <c r="J2" t="s">
        <v>203</v>
      </c>
      <c r="K2" t="s">
        <v>195</v>
      </c>
    </row>
    <row r="3" spans="1:16384" x14ac:dyDescent="0.3">
      <c r="A3" s="1">
        <v>46121</v>
      </c>
      <c r="B3" t="s">
        <v>174</v>
      </c>
      <c r="C3" t="s">
        <v>238</v>
      </c>
      <c r="D3" t="s">
        <v>61</v>
      </c>
      <c r="E3" s="41" t="s">
        <v>239</v>
      </c>
      <c r="F3" t="s">
        <v>199</v>
      </c>
      <c r="G3" t="s">
        <v>210</v>
      </c>
      <c r="H3" t="s">
        <v>241</v>
      </c>
      <c r="I3" t="s">
        <v>211</v>
      </c>
      <c r="J3" t="s">
        <v>212</v>
      </c>
      <c r="K3" t="s">
        <v>199</v>
      </c>
    </row>
    <row r="4" spans="1:16384" x14ac:dyDescent="0.3">
      <c r="A4" s="1">
        <v>46155</v>
      </c>
      <c r="B4" t="s">
        <v>174</v>
      </c>
      <c r="C4" t="s">
        <v>238</v>
      </c>
      <c r="D4" t="s">
        <v>61</v>
      </c>
      <c r="E4" s="41" t="s">
        <v>239</v>
      </c>
      <c r="F4" t="s">
        <v>206</v>
      </c>
      <c r="G4" t="s">
        <v>222</v>
      </c>
      <c r="H4" t="s">
        <v>242</v>
      </c>
      <c r="I4" t="s">
        <v>223</v>
      </c>
      <c r="J4" t="s">
        <v>224</v>
      </c>
      <c r="K4" t="s">
        <v>206</v>
      </c>
    </row>
    <row r="6" spans="1:16384" x14ac:dyDescent="0.3">
      <c r="A6" t="s">
        <v>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2"/>
  <sheetViews>
    <sheetView showGridLines="0" tabSelected="1" workbookViewId="0">
      <selection activeCell="H5" sqref="H5:H9"/>
    </sheetView>
  </sheetViews>
  <sheetFormatPr defaultColWidth="8.77734375" defaultRowHeight="14.4" x14ac:dyDescent="0.3"/>
  <cols>
    <col min="1" max="1" width="35.109375" customWidth="1"/>
    <col min="2" max="2" width="11" bestFit="1" customWidth="1"/>
    <col min="3" max="3" width="15.77734375" bestFit="1" customWidth="1"/>
    <col min="4" max="4" width="16.33203125" bestFit="1" customWidth="1"/>
    <col min="5" max="5" width="30.44140625" bestFit="1" customWidth="1"/>
    <col min="6" max="6" width="16.5546875" bestFit="1" customWidth="1"/>
    <col min="7" max="7" width="14.109375" bestFit="1" customWidth="1"/>
    <col min="8" max="8" width="62.109375" bestFit="1" customWidth="1"/>
    <col min="9" max="9" width="14.44140625" customWidth="1"/>
  </cols>
  <sheetData>
    <row r="1" spans="1:9" ht="23.4" x14ac:dyDescent="0.3">
      <c r="A1" s="69" t="s">
        <v>244</v>
      </c>
      <c r="B1" s="70"/>
      <c r="C1" s="70"/>
      <c r="D1" s="70"/>
      <c r="E1" s="70"/>
      <c r="F1" s="70"/>
      <c r="G1" s="70"/>
      <c r="H1" s="70"/>
      <c r="I1" s="70"/>
    </row>
    <row r="2" spans="1:9" x14ac:dyDescent="0.3">
      <c r="A2" s="71" t="s">
        <v>245</v>
      </c>
      <c r="B2" s="70"/>
      <c r="C2" s="70"/>
      <c r="D2" s="70"/>
      <c r="E2" s="70"/>
      <c r="F2" s="70"/>
      <c r="G2" s="70"/>
      <c r="H2" s="70"/>
      <c r="I2" s="70"/>
    </row>
    <row r="3" spans="1:9" ht="15.6" x14ac:dyDescent="0.3">
      <c r="A3" s="72" t="s">
        <v>246</v>
      </c>
      <c r="B3" s="70"/>
      <c r="C3" s="70"/>
      <c r="D3" s="70"/>
      <c r="E3" s="70"/>
      <c r="F3" s="70"/>
      <c r="G3" s="70"/>
      <c r="H3" s="70"/>
      <c r="I3" s="70"/>
    </row>
    <row r="5" spans="1:9" ht="15.6" x14ac:dyDescent="0.3">
      <c r="A5" s="61" t="s">
        <v>247</v>
      </c>
      <c r="B5" s="61" t="s">
        <v>248</v>
      </c>
      <c r="C5" s="61" t="s">
        <v>249</v>
      </c>
      <c r="D5" s="61" t="s">
        <v>250</v>
      </c>
      <c r="E5" s="61" t="s">
        <v>251</v>
      </c>
      <c r="F5" s="61" t="s">
        <v>252</v>
      </c>
      <c r="G5" s="61" t="s">
        <v>253</v>
      </c>
      <c r="H5" s="61" t="s">
        <v>254</v>
      </c>
    </row>
    <row r="6" spans="1:9" x14ac:dyDescent="0.3">
      <c r="A6" t="s">
        <v>255</v>
      </c>
      <c r="B6" s="1">
        <v>46092</v>
      </c>
      <c r="C6" t="s">
        <v>256</v>
      </c>
      <c r="D6" t="s">
        <v>201</v>
      </c>
      <c r="E6" t="s">
        <v>257</v>
      </c>
      <c r="F6" t="s">
        <v>195</v>
      </c>
      <c r="G6">
        <v>8600</v>
      </c>
      <c r="H6" t="s">
        <v>258</v>
      </c>
    </row>
    <row r="7" spans="1:9" x14ac:dyDescent="0.3">
      <c r="A7" t="s">
        <v>259</v>
      </c>
      <c r="B7" s="1">
        <v>46121</v>
      </c>
      <c r="C7" t="s">
        <v>256</v>
      </c>
      <c r="D7" t="s">
        <v>210</v>
      </c>
      <c r="E7" t="s">
        <v>260</v>
      </c>
      <c r="F7" t="s">
        <v>199</v>
      </c>
      <c r="G7">
        <v>8400</v>
      </c>
      <c r="H7" t="s">
        <v>258</v>
      </c>
    </row>
    <row r="8" spans="1:9" x14ac:dyDescent="0.3">
      <c r="A8" t="s">
        <v>261</v>
      </c>
      <c r="B8" s="1">
        <v>46155</v>
      </c>
      <c r="C8" t="s">
        <v>256</v>
      </c>
      <c r="D8" t="s">
        <v>222</v>
      </c>
      <c r="E8" t="s">
        <v>262</v>
      </c>
      <c r="F8" t="s">
        <v>206</v>
      </c>
      <c r="G8">
        <v>8900</v>
      </c>
      <c r="H8" t="s">
        <v>258</v>
      </c>
    </row>
    <row r="9" spans="1:9" x14ac:dyDescent="0.3">
      <c r="A9" t="s">
        <v>263</v>
      </c>
      <c r="B9" s="1">
        <v>46191</v>
      </c>
      <c r="C9" t="s">
        <v>264</v>
      </c>
      <c r="D9" t="s">
        <v>231</v>
      </c>
      <c r="E9" t="s">
        <v>265</v>
      </c>
      <c r="F9" t="s">
        <v>195</v>
      </c>
      <c r="G9">
        <v>9150</v>
      </c>
      <c r="H9" t="s">
        <v>258</v>
      </c>
    </row>
    <row r="10" spans="1:9" x14ac:dyDescent="0.3">
      <c r="A10" t="s">
        <v>266</v>
      </c>
      <c r="B10" s="1">
        <v>46218</v>
      </c>
      <c r="C10" t="s">
        <v>264</v>
      </c>
      <c r="D10" t="s">
        <v>237</v>
      </c>
      <c r="E10" t="s">
        <v>267</v>
      </c>
      <c r="F10" t="s">
        <v>199</v>
      </c>
      <c r="G10">
        <v>8300</v>
      </c>
      <c r="H10" t="s">
        <v>258</v>
      </c>
    </row>
    <row r="12" spans="1:9" x14ac:dyDescent="0.3">
      <c r="A12" t="s">
        <v>268</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defaultColWidth="8.77734375" defaultRowHeight="14.4" x14ac:dyDescent="0.3"/>
  <sheetData>
    <row r="1" spans="1:1" x14ac:dyDescent="0.3">
      <c r="A1" t="s">
        <v>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workbookViewId="0"/>
  </sheetViews>
  <sheetFormatPr defaultColWidth="8.77734375" defaultRowHeight="14.4" x14ac:dyDescent="0.3"/>
  <cols>
    <col min="1" max="1" width="159.77734375" customWidth="1"/>
  </cols>
  <sheetData>
    <row r="1" spans="1:1" ht="388.5" customHeight="1" x14ac:dyDescent="0.3">
      <c r="A1" s="57" t="s">
        <v>304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64" zoomScale="85" zoomScaleNormal="85" workbookViewId="0">
      <selection activeCell="E26" sqref="E26"/>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95" t="s">
        <v>77</v>
      </c>
      <c r="C1" s="96"/>
      <c r="D1" s="96"/>
      <c r="E1" s="96"/>
      <c r="F1" s="96"/>
      <c r="G1" s="96"/>
      <c r="H1" s="96"/>
      <c r="I1" s="96"/>
      <c r="J1" s="96"/>
      <c r="K1" s="96"/>
      <c r="L1" s="96"/>
      <c r="M1" s="96"/>
      <c r="N1" s="97"/>
    </row>
    <row r="2" spans="2:14" ht="15" customHeight="1" x14ac:dyDescent="0.3">
      <c r="B2" s="98"/>
      <c r="C2" s="99"/>
      <c r="D2" s="99"/>
      <c r="E2" s="99"/>
      <c r="F2" s="99"/>
      <c r="G2" s="99"/>
      <c r="H2" s="99"/>
      <c r="I2" s="99"/>
      <c r="J2" s="99"/>
      <c r="K2" s="99"/>
      <c r="L2" s="99"/>
      <c r="M2" s="99"/>
      <c r="N2" s="100"/>
    </row>
    <row r="3" spans="2:14" ht="21" customHeight="1" x14ac:dyDescent="0.3">
      <c r="B3" s="101"/>
      <c r="C3" s="102"/>
      <c r="D3" s="102"/>
      <c r="E3" s="102"/>
      <c r="F3" s="102"/>
      <c r="G3" s="102"/>
      <c r="H3" s="102"/>
      <c r="I3" s="102"/>
      <c r="J3" s="102"/>
      <c r="K3" s="102"/>
      <c r="L3" s="102"/>
      <c r="M3" s="102"/>
      <c r="N3" s="103"/>
    </row>
    <row r="4" spans="2:14" ht="21" customHeight="1" x14ac:dyDescent="0.3">
      <c r="B4" s="2"/>
      <c r="C4" s="2"/>
      <c r="D4" s="2"/>
      <c r="E4" s="2"/>
      <c r="F4" s="2"/>
      <c r="G4" s="2"/>
      <c r="H4" s="2"/>
      <c r="I4" s="2"/>
      <c r="J4" s="2"/>
      <c r="K4" s="2"/>
      <c r="L4" s="2"/>
      <c r="M4" s="2"/>
      <c r="N4" s="2"/>
    </row>
    <row r="5" spans="2:14" ht="21" customHeight="1" x14ac:dyDescent="0.3">
      <c r="B5" s="3" t="s">
        <v>78</v>
      </c>
      <c r="C5" s="2"/>
      <c r="D5" s="2"/>
      <c r="E5" s="4" t="s">
        <v>79</v>
      </c>
      <c r="F5" s="2"/>
      <c r="G5" s="2"/>
      <c r="H5" s="2"/>
      <c r="I5" s="2"/>
      <c r="J5" s="2"/>
      <c r="K5" s="2"/>
      <c r="L5" s="2"/>
      <c r="M5" s="2"/>
      <c r="N5" s="2"/>
    </row>
    <row r="6" spans="2:14" ht="21" customHeight="1" x14ac:dyDescent="0.3">
      <c r="B6" s="104" t="s">
        <v>189</v>
      </c>
      <c r="C6" s="105"/>
      <c r="D6" s="2"/>
      <c r="E6" s="106"/>
      <c r="F6" s="107"/>
      <c r="G6" s="2"/>
      <c r="H6" s="2"/>
      <c r="I6" s="2"/>
      <c r="J6" s="2"/>
      <c r="K6" s="2"/>
      <c r="L6" s="2"/>
      <c r="M6" s="2"/>
      <c r="N6" s="2"/>
    </row>
    <row r="7" spans="2:14" ht="21" customHeight="1" x14ac:dyDescent="0.3">
      <c r="B7" s="108"/>
      <c r="C7" s="109"/>
      <c r="D7" s="2"/>
      <c r="E7" s="91"/>
      <c r="F7" s="92"/>
      <c r="G7" s="2"/>
      <c r="H7" s="2"/>
      <c r="I7" s="2"/>
      <c r="J7" s="2"/>
      <c r="K7" s="2"/>
      <c r="L7" s="2"/>
      <c r="M7" s="2"/>
      <c r="N7" s="2"/>
    </row>
    <row r="8" spans="2:14" ht="21" customHeight="1" x14ac:dyDescent="0.3">
      <c r="B8" s="93"/>
      <c r="C8" s="94"/>
      <c r="D8" s="2"/>
      <c r="E8" s="2"/>
      <c r="F8" s="2"/>
      <c r="G8" s="2"/>
      <c r="H8" s="2"/>
      <c r="I8" s="2"/>
      <c r="J8" s="2"/>
      <c r="K8" s="2"/>
      <c r="L8" s="2"/>
      <c r="M8" s="2"/>
      <c r="N8" s="2"/>
    </row>
    <row r="9" spans="2:14" ht="21" customHeight="1" x14ac:dyDescent="0.3">
      <c r="B9" s="3" t="s">
        <v>80</v>
      </c>
      <c r="C9" s="2"/>
      <c r="D9" s="2"/>
      <c r="E9" s="5" t="s">
        <v>81</v>
      </c>
      <c r="F9" s="2"/>
      <c r="G9" s="2"/>
      <c r="H9" s="2"/>
      <c r="I9" s="2"/>
      <c r="J9" s="2"/>
      <c r="K9" s="2"/>
      <c r="L9" s="2"/>
      <c r="M9" s="2"/>
      <c r="N9" s="2"/>
    </row>
    <row r="10" spans="2:14" ht="21" customHeight="1" x14ac:dyDescent="0.3">
      <c r="B10" s="81" t="s">
        <v>174</v>
      </c>
      <c r="C10" s="82"/>
      <c r="D10" s="2"/>
      <c r="E10" s="83">
        <v>7045550165001</v>
      </c>
      <c r="F10" s="84"/>
      <c r="G10" s="2"/>
      <c r="H10" s="2"/>
      <c r="I10" s="2"/>
      <c r="J10" s="2"/>
      <c r="K10" s="2"/>
      <c r="L10" s="2"/>
      <c r="M10" s="2"/>
      <c r="N10" s="2"/>
    </row>
    <row r="11" spans="2:14" ht="21" customHeight="1" x14ac:dyDescent="0.3">
      <c r="B11" s="85"/>
      <c r="C11" s="86"/>
      <c r="D11" s="2"/>
      <c r="E11" s="87"/>
      <c r="F11" s="88"/>
      <c r="G11" s="2"/>
      <c r="H11" s="2"/>
      <c r="I11" s="2"/>
      <c r="J11" s="2"/>
      <c r="K11" s="2"/>
      <c r="L11" s="2"/>
      <c r="M11" s="2"/>
      <c r="N11" s="2"/>
    </row>
    <row r="12" spans="2:14" ht="21" customHeight="1" x14ac:dyDescent="0.3">
      <c r="B12" s="89"/>
      <c r="C12" s="90"/>
      <c r="D12" s="2"/>
      <c r="E12" s="91"/>
      <c r="F12" s="92"/>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82</v>
      </c>
      <c r="C14" s="2"/>
      <c r="D14" s="2"/>
      <c r="E14" s="2"/>
      <c r="F14" s="2"/>
      <c r="G14" s="2"/>
      <c r="H14" s="2"/>
      <c r="I14" s="2"/>
      <c r="J14" s="2"/>
      <c r="K14" s="2"/>
      <c r="L14" s="2"/>
      <c r="M14" s="2"/>
      <c r="N14" s="2"/>
    </row>
    <row r="15" spans="2:14" ht="18" x14ac:dyDescent="0.3">
      <c r="B15" s="6"/>
      <c r="C15" s="7" t="s">
        <v>83</v>
      </c>
      <c r="D15" s="7" t="s">
        <v>84</v>
      </c>
      <c r="E15" s="7" t="s">
        <v>47</v>
      </c>
      <c r="F15" s="7"/>
      <c r="G15" s="8"/>
      <c r="H15" s="8"/>
      <c r="I15" s="8"/>
      <c r="J15" s="8"/>
      <c r="K15" s="8"/>
      <c r="L15" s="8"/>
      <c r="M15" s="8"/>
      <c r="N15" s="8"/>
    </row>
    <row r="16" spans="2:14" ht="21" customHeight="1" x14ac:dyDescent="0.3">
      <c r="B16" s="5"/>
      <c r="C16" t="s">
        <v>269</v>
      </c>
      <c r="D16" t="s">
        <v>270</v>
      </c>
      <c r="E16" t="s">
        <v>271</v>
      </c>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85</v>
      </c>
      <c r="D23" s="15"/>
      <c r="N23" s="16"/>
    </row>
    <row r="24" spans="2:14" ht="15" thickBot="1" x14ac:dyDescent="0.35">
      <c r="B24" s="13"/>
      <c r="C24" s="15"/>
      <c r="D24" s="15"/>
      <c r="N24" s="16"/>
    </row>
    <row r="25" spans="2:14" ht="15" thickBot="1" x14ac:dyDescent="0.35">
      <c r="B25" s="13"/>
      <c r="C25" s="17" t="s">
        <v>86</v>
      </c>
      <c r="D25" s="17"/>
      <c r="E25" s="18">
        <v>71850</v>
      </c>
      <c r="F25" s="17"/>
      <c r="G25" s="17"/>
      <c r="H25" s="17"/>
      <c r="I25" s="17"/>
      <c r="J25" s="17"/>
      <c r="K25" s="17"/>
      <c r="L25" s="17"/>
      <c r="M25" s="17"/>
      <c r="N25" s="19"/>
    </row>
    <row r="26" spans="2:14" ht="15.75" customHeight="1" thickBot="1" x14ac:dyDescent="0.35">
      <c r="B26" s="13"/>
      <c r="C26" s="20" t="s">
        <v>87</v>
      </c>
      <c r="D26" s="17"/>
      <c r="E26" s="17"/>
      <c r="F26" s="17"/>
      <c r="G26" s="21" t="s">
        <v>88</v>
      </c>
      <c r="H26" s="1">
        <v>46090</v>
      </c>
      <c r="I26" s="21" t="s">
        <v>89</v>
      </c>
      <c r="J26" s="1">
        <v>46218</v>
      </c>
      <c r="M26" s="17"/>
      <c r="N26" s="19"/>
    </row>
    <row r="27" spans="2:14" ht="15.75" customHeight="1" thickBot="1" x14ac:dyDescent="0.35">
      <c r="B27" s="13"/>
      <c r="C27" s="20" t="s">
        <v>90</v>
      </c>
      <c r="D27" s="20"/>
      <c r="E27" s="20"/>
      <c r="F27" s="22"/>
      <c r="G27" s="20"/>
      <c r="H27" s="20"/>
      <c r="I27" s="20"/>
      <c r="J27" s="17"/>
      <c r="K27" s="17"/>
      <c r="L27" s="17"/>
      <c r="M27" s="17"/>
      <c r="N27" s="19"/>
    </row>
    <row r="28" spans="2:14" ht="14.4" x14ac:dyDescent="0.3">
      <c r="B28" s="13"/>
      <c r="C28" s="23"/>
      <c r="D28" s="23"/>
      <c r="E28" s="23"/>
      <c r="F28" s="23"/>
      <c r="G28" s="23"/>
      <c r="H28" s="23"/>
      <c r="I28" s="23"/>
      <c r="J28" s="23"/>
      <c r="K28" s="23"/>
      <c r="L28" s="23"/>
      <c r="M28" s="23"/>
      <c r="N28" s="24"/>
    </row>
    <row r="29" spans="2:14" ht="15" thickBot="1" x14ac:dyDescent="0.35">
      <c r="B29" s="13"/>
      <c r="C29" s="25"/>
      <c r="D29" s="25"/>
      <c r="E29" s="25"/>
      <c r="F29" s="25"/>
      <c r="G29" s="25"/>
      <c r="H29" s="25"/>
      <c r="I29" s="25"/>
      <c r="J29" s="25"/>
      <c r="K29" s="25"/>
      <c r="L29" s="25"/>
      <c r="M29" s="25"/>
      <c r="N29" s="16"/>
    </row>
    <row r="30" spans="2:14" ht="15" x14ac:dyDescent="0.3">
      <c r="B30" s="13"/>
      <c r="C30" s="14" t="s">
        <v>91</v>
      </c>
      <c r="D30" s="15"/>
      <c r="N30" s="16"/>
    </row>
    <row r="31" spans="2:14" ht="14.4" x14ac:dyDescent="0.3">
      <c r="B31" s="13"/>
      <c r="N31" s="16"/>
    </row>
    <row r="32" spans="2:14" ht="14.4" x14ac:dyDescent="0.3">
      <c r="B32" s="13"/>
      <c r="C32" s="15" t="s">
        <v>92</v>
      </c>
      <c r="E32" s="15"/>
      <c r="H32" s="15" t="s">
        <v>93</v>
      </c>
      <c r="L32" s="15"/>
      <c r="N32" s="16"/>
    </row>
    <row r="33" spans="2:14" ht="15" thickBot="1" x14ac:dyDescent="0.35">
      <c r="B33" s="13"/>
      <c r="C33" s="15" t="s">
        <v>94</v>
      </c>
      <c r="E33" s="15"/>
      <c r="H33" s="15" t="s">
        <v>95</v>
      </c>
      <c r="L33" s="73"/>
      <c r="M33" s="73"/>
      <c r="N33" s="16"/>
    </row>
    <row r="34" spans="2:14" ht="15" thickBot="1" x14ac:dyDescent="0.35">
      <c r="B34" s="13"/>
      <c r="C34" s="15" t="s">
        <v>96</v>
      </c>
      <c r="E34" s="15"/>
      <c r="H34" s="15" t="s">
        <v>97</v>
      </c>
      <c r="I34" s="74"/>
      <c r="J34" s="75"/>
      <c r="N34" s="16"/>
    </row>
    <row r="35" spans="2:14" ht="15" thickBot="1" x14ac:dyDescent="0.35">
      <c r="B35" s="13"/>
      <c r="C35" s="25"/>
      <c r="N35" s="16"/>
    </row>
    <row r="36" spans="2:14" ht="15" x14ac:dyDescent="0.3">
      <c r="B36" s="27"/>
      <c r="C36" s="14" t="s">
        <v>98</v>
      </c>
      <c r="D36" s="28"/>
      <c r="E36" s="28"/>
      <c r="F36" s="28"/>
      <c r="G36" s="28"/>
      <c r="H36" s="28"/>
      <c r="I36" s="28"/>
      <c r="J36" s="28"/>
      <c r="K36" s="28"/>
      <c r="L36" s="28"/>
      <c r="M36" s="28"/>
      <c r="N36" s="16"/>
    </row>
    <row r="37" spans="2:14" ht="14.4" x14ac:dyDescent="0.3">
      <c r="B37" s="13"/>
      <c r="N37" s="16"/>
    </row>
    <row r="38" spans="2:14" ht="15" customHeight="1" x14ac:dyDescent="0.3">
      <c r="B38" s="13"/>
      <c r="C38" s="15" t="s">
        <v>99</v>
      </c>
      <c r="F38" s="15" t="s">
        <v>100</v>
      </c>
      <c r="H38" s="15"/>
      <c r="N38" s="16"/>
    </row>
    <row r="39" spans="2:14" ht="14.4" x14ac:dyDescent="0.3">
      <c r="B39" s="13"/>
      <c r="C39" s="15" t="s">
        <v>101</v>
      </c>
      <c r="F39" s="15" t="s">
        <v>102</v>
      </c>
      <c r="H39" s="15"/>
      <c r="N39" s="16"/>
    </row>
    <row r="40" spans="2:14" ht="14.4" x14ac:dyDescent="0.3">
      <c r="B40" s="13"/>
      <c r="C40" s="15" t="s">
        <v>103</v>
      </c>
      <c r="F40" s="15" t="s">
        <v>104</v>
      </c>
      <c r="H40" s="15"/>
      <c r="N40" s="16"/>
    </row>
    <row r="41" spans="2:14" ht="14.4" x14ac:dyDescent="0.3">
      <c r="B41" s="13"/>
      <c r="C41" s="15" t="s">
        <v>105</v>
      </c>
      <c r="F41" s="15" t="s">
        <v>106</v>
      </c>
      <c r="H41" s="15"/>
      <c r="I41" s="76"/>
      <c r="J41" s="76"/>
      <c r="N41" s="16"/>
    </row>
    <row r="42" spans="2:14" ht="14.4" x14ac:dyDescent="0.3">
      <c r="B42" s="13"/>
      <c r="C42" s="15" t="s">
        <v>107</v>
      </c>
      <c r="F42" s="15" t="s">
        <v>108</v>
      </c>
      <c r="G42" s="15"/>
      <c r="N42" s="16"/>
    </row>
    <row r="43" spans="2:14" ht="15" thickBot="1" x14ac:dyDescent="0.35">
      <c r="B43" s="13"/>
      <c r="C43" s="15" t="s">
        <v>109</v>
      </c>
      <c r="F43" s="15" t="s">
        <v>110</v>
      </c>
      <c r="G43" s="15"/>
      <c r="N43" s="16"/>
    </row>
    <row r="44" spans="2:14" ht="15" thickBot="1" x14ac:dyDescent="0.35">
      <c r="B44" s="13"/>
      <c r="C44" s="15" t="s">
        <v>111</v>
      </c>
      <c r="D44" s="15"/>
      <c r="E44" s="15"/>
      <c r="F44" s="15" t="s">
        <v>97</v>
      </c>
      <c r="G44" s="77"/>
      <c r="H44" s="78"/>
      <c r="N44" s="16"/>
    </row>
    <row r="45" spans="2:14" ht="15.6" thickBot="1" x14ac:dyDescent="0.35">
      <c r="B45" s="13"/>
      <c r="C45" s="14"/>
      <c r="D45" s="15"/>
      <c r="E45" s="15"/>
      <c r="F45" s="15"/>
      <c r="G45" s="26"/>
      <c r="H45" s="26"/>
      <c r="N45" s="16"/>
    </row>
    <row r="46" spans="2:14" ht="15" x14ac:dyDescent="0.3">
      <c r="B46" s="27"/>
      <c r="C46" s="29" t="s">
        <v>112</v>
      </c>
      <c r="D46" s="28"/>
      <c r="E46" s="28"/>
      <c r="F46" s="28"/>
      <c r="G46" s="28"/>
      <c r="H46" s="28"/>
      <c r="I46" s="28"/>
      <c r="J46" s="28"/>
      <c r="K46" s="28"/>
      <c r="L46" s="28"/>
      <c r="M46" s="28"/>
      <c r="N46" s="16"/>
    </row>
    <row r="47" spans="2:14" ht="14.4" x14ac:dyDescent="0.3">
      <c r="B47" s="13"/>
      <c r="N47" s="16"/>
    </row>
    <row r="48" spans="2:14" ht="14.4" x14ac:dyDescent="0.3">
      <c r="B48" s="13"/>
      <c r="C48" s="15" t="s">
        <v>113</v>
      </c>
      <c r="E48" s="15" t="s">
        <v>114</v>
      </c>
      <c r="H48" s="15" t="s">
        <v>115</v>
      </c>
      <c r="N48" s="16"/>
    </row>
    <row r="49" spans="2:14" ht="14.4" x14ac:dyDescent="0.3">
      <c r="B49" s="13"/>
      <c r="C49" s="15" t="s">
        <v>116</v>
      </c>
      <c r="E49" s="15" t="s">
        <v>117</v>
      </c>
      <c r="H49" s="15" t="s">
        <v>118</v>
      </c>
      <c r="N49" s="16"/>
    </row>
    <row r="50" spans="2:14" ht="15" thickBot="1" x14ac:dyDescent="0.35">
      <c r="B50" s="13"/>
      <c r="C50" s="15" t="s">
        <v>119</v>
      </c>
      <c r="E50" s="15" t="s">
        <v>120</v>
      </c>
      <c r="H50" s="15" t="s">
        <v>121</v>
      </c>
      <c r="N50" s="16"/>
    </row>
    <row r="51" spans="2:14" ht="15" thickBot="1" x14ac:dyDescent="0.35">
      <c r="B51" s="13"/>
      <c r="C51" s="15" t="s">
        <v>122</v>
      </c>
      <c r="E51" s="15" t="s">
        <v>123</v>
      </c>
      <c r="H51" s="15" t="s">
        <v>124</v>
      </c>
      <c r="I51" s="79"/>
      <c r="J51" s="80"/>
      <c r="N51" s="16"/>
    </row>
    <row r="52" spans="2:14" ht="14.4" x14ac:dyDescent="0.3">
      <c r="B52" s="13"/>
      <c r="C52" s="15" t="s">
        <v>125</v>
      </c>
      <c r="E52" s="15" t="s">
        <v>126</v>
      </c>
      <c r="G52" s="15"/>
      <c r="N52" s="16"/>
    </row>
    <row r="53" spans="2:14" ht="14.4" x14ac:dyDescent="0.3">
      <c r="B53" s="13"/>
      <c r="C53" s="15" t="s">
        <v>127</v>
      </c>
      <c r="E53" s="15" t="s">
        <v>128</v>
      </c>
      <c r="G53" s="15"/>
      <c r="N53" s="16"/>
    </row>
    <row r="54" spans="2:14" ht="14.4" x14ac:dyDescent="0.3">
      <c r="B54" s="13"/>
      <c r="C54" s="15" t="s">
        <v>129</v>
      </c>
      <c r="D54" s="15"/>
      <c r="E54" s="15"/>
      <c r="G54" s="15"/>
      <c r="N54" s="16"/>
    </row>
    <row r="55" spans="2:14" ht="14.4" x14ac:dyDescent="0.3">
      <c r="B55" s="13"/>
      <c r="C55" s="15" t="s">
        <v>130</v>
      </c>
      <c r="N55" s="16"/>
    </row>
    <row r="56" spans="2:14" ht="14.4" x14ac:dyDescent="0.3">
      <c r="B56" s="13"/>
      <c r="C56" s="15" t="s">
        <v>131</v>
      </c>
      <c r="N56" s="16"/>
    </row>
    <row r="57" spans="2:14" ht="14.4" x14ac:dyDescent="0.3">
      <c r="B57" s="13"/>
      <c r="C57" s="15" t="s">
        <v>132</v>
      </c>
      <c r="D57" s="30"/>
      <c r="N57" s="16"/>
    </row>
    <row r="58" spans="2:14" ht="15" thickBot="1" x14ac:dyDescent="0.35">
      <c r="B58" s="13"/>
      <c r="C58" s="25"/>
      <c r="D58" s="25"/>
      <c r="E58" s="25"/>
      <c r="F58" s="25"/>
      <c r="G58" s="25"/>
      <c r="H58" s="25"/>
      <c r="I58" s="25"/>
      <c r="J58" s="25"/>
      <c r="K58" s="25"/>
      <c r="L58" s="25"/>
      <c r="M58" s="25"/>
      <c r="N58" s="16"/>
    </row>
    <row r="59" spans="2:14" ht="15" x14ac:dyDescent="0.3">
      <c r="B59" s="13"/>
      <c r="C59" s="14" t="s">
        <v>133</v>
      </c>
      <c r="D59" s="31"/>
      <c r="N59" s="16"/>
    </row>
    <row r="60" spans="2:14" ht="14.4" x14ac:dyDescent="0.3">
      <c r="B60" s="13"/>
      <c r="C60" s="32"/>
      <c r="D60" s="31"/>
      <c r="N60" s="16"/>
    </row>
    <row r="61" spans="2:14" ht="14.4" x14ac:dyDescent="0.3">
      <c r="B61" s="13"/>
      <c r="C61" s="15" t="s">
        <v>134</v>
      </c>
      <c r="E61" s="15" t="s">
        <v>135</v>
      </c>
      <c r="H61" s="15" t="s">
        <v>136</v>
      </c>
      <c r="N61" s="16"/>
    </row>
    <row r="62" spans="2:14" ht="14.4" x14ac:dyDescent="0.3">
      <c r="B62" s="13"/>
      <c r="C62" s="15" t="s">
        <v>137</v>
      </c>
      <c r="E62" s="15" t="s">
        <v>138</v>
      </c>
      <c r="H62" s="15" t="s">
        <v>139</v>
      </c>
      <c r="N62" s="16"/>
    </row>
    <row r="63" spans="2:14" ht="14.4" x14ac:dyDescent="0.3">
      <c r="B63" s="13"/>
      <c r="C63" s="15" t="s">
        <v>140</v>
      </c>
      <c r="E63" s="15" t="s">
        <v>141</v>
      </c>
      <c r="H63" s="15" t="s">
        <v>142</v>
      </c>
      <c r="N63" s="16"/>
    </row>
    <row r="64" spans="2:14" ht="14.4" x14ac:dyDescent="0.3">
      <c r="B64" s="13"/>
      <c r="C64" s="15" t="s">
        <v>143</v>
      </c>
      <c r="E64" s="15" t="s">
        <v>144</v>
      </c>
      <c r="H64" s="15" t="s">
        <v>145</v>
      </c>
      <c r="N64" s="16"/>
    </row>
    <row r="65" spans="2:14" ht="15" thickBot="1" x14ac:dyDescent="0.35">
      <c r="B65" s="13"/>
      <c r="C65" s="15" t="s">
        <v>146</v>
      </c>
      <c r="E65" s="15" t="s">
        <v>147</v>
      </c>
      <c r="H65" s="15" t="s">
        <v>148</v>
      </c>
      <c r="N65" s="16"/>
    </row>
    <row r="66" spans="2:14" ht="15" thickBot="1" x14ac:dyDescent="0.35">
      <c r="B66" s="13"/>
      <c r="C66" s="15" t="s">
        <v>149</v>
      </c>
      <c r="E66" s="15" t="s">
        <v>150</v>
      </c>
      <c r="H66" s="79"/>
      <c r="I66" s="80"/>
      <c r="N66" s="16"/>
    </row>
    <row r="67" spans="2:14" ht="14.4" x14ac:dyDescent="0.3">
      <c r="B67" s="13"/>
      <c r="C67" s="15" t="s">
        <v>151</v>
      </c>
      <c r="E67" s="15" t="s">
        <v>152</v>
      </c>
      <c r="N67" s="16"/>
    </row>
    <row r="68" spans="2:14" ht="14.4" x14ac:dyDescent="0.3">
      <c r="B68" s="13"/>
      <c r="C68" s="15" t="s">
        <v>153</v>
      </c>
      <c r="E68" s="15" t="s">
        <v>154</v>
      </c>
      <c r="N68" s="16"/>
    </row>
    <row r="69" spans="2:14" ht="14.4" x14ac:dyDescent="0.3">
      <c r="B69" s="13"/>
      <c r="D69" s="32"/>
      <c r="N69" s="16"/>
    </row>
    <row r="70" spans="2:14" ht="15" thickBot="1" x14ac:dyDescent="0.35">
      <c r="B70" s="13"/>
      <c r="C70" s="25"/>
      <c r="D70" s="25"/>
      <c r="E70" s="25"/>
      <c r="F70" s="25"/>
      <c r="G70" s="25"/>
      <c r="H70" s="25"/>
      <c r="I70" s="25"/>
      <c r="J70" s="25"/>
      <c r="K70" s="25"/>
      <c r="L70" s="25"/>
      <c r="M70" s="25"/>
      <c r="N70" s="16"/>
    </row>
    <row r="71" spans="2:14" ht="15" x14ac:dyDescent="0.3">
      <c r="B71" s="13"/>
      <c r="C71" s="14" t="s">
        <v>155</v>
      </c>
      <c r="D71" s="31"/>
      <c r="N71" s="16"/>
    </row>
    <row r="72" spans="2:14" ht="14.4" x14ac:dyDescent="0.3">
      <c r="B72" s="13"/>
      <c r="C72" s="32"/>
      <c r="D72" s="32"/>
      <c r="N72" s="16"/>
    </row>
    <row r="73" spans="2:14" s="34" customFormat="1" ht="14.4" x14ac:dyDescent="0.3">
      <c r="B73" s="33"/>
      <c r="C73" s="15" t="s">
        <v>156</v>
      </c>
      <c r="D73"/>
      <c r="E73" s="15" t="s">
        <v>157</v>
      </c>
      <c r="G73"/>
      <c r="H73" s="15" t="s">
        <v>158</v>
      </c>
      <c r="N73" s="35"/>
    </row>
    <row r="74" spans="2:14" s="34" customFormat="1" ht="14.4" x14ac:dyDescent="0.3">
      <c r="B74" s="33"/>
      <c r="C74" s="15" t="s">
        <v>159</v>
      </c>
      <c r="D74"/>
      <c r="E74" s="15" t="s">
        <v>160</v>
      </c>
      <c r="G74"/>
      <c r="H74" s="15" t="s">
        <v>161</v>
      </c>
      <c r="N74" s="35"/>
    </row>
    <row r="75" spans="2:14" s="34" customFormat="1" ht="14.4" x14ac:dyDescent="0.3">
      <c r="B75" s="13"/>
      <c r="C75" s="15" t="s">
        <v>162</v>
      </c>
      <c r="D75"/>
      <c r="E75" s="15" t="s">
        <v>163</v>
      </c>
      <c r="G75"/>
      <c r="H75" s="15" t="s">
        <v>164</v>
      </c>
      <c r="N75" s="35"/>
    </row>
    <row r="76" spans="2:14" s="34" customFormat="1" ht="14.4" x14ac:dyDescent="0.3">
      <c r="B76" s="33"/>
      <c r="G76"/>
      <c r="H76" s="15" t="s">
        <v>124</v>
      </c>
      <c r="N76" s="35"/>
    </row>
    <row r="77" spans="2:14" ht="15" thickBot="1" x14ac:dyDescent="0.35">
      <c r="B77" s="13"/>
      <c r="C77" s="25"/>
      <c r="D77" s="36"/>
      <c r="E77" s="25"/>
      <c r="F77" s="25"/>
      <c r="G77" s="25"/>
      <c r="H77" s="25"/>
      <c r="I77" s="25"/>
      <c r="J77" s="25"/>
      <c r="K77" s="25"/>
      <c r="L77" s="25"/>
      <c r="M77" s="25"/>
      <c r="N77" s="16"/>
    </row>
    <row r="78" spans="2:14" ht="14.4" x14ac:dyDescent="0.3">
      <c r="B78" s="13"/>
      <c r="D78" s="32"/>
      <c r="N78" s="16"/>
    </row>
    <row r="79" spans="2:14" ht="14.4" x14ac:dyDescent="0.3">
      <c r="B79" s="37"/>
      <c r="C79" s="38"/>
      <c r="D79" s="39"/>
      <c r="E79" s="38"/>
      <c r="F79" s="38"/>
      <c r="G79" s="38"/>
      <c r="H79" s="38"/>
      <c r="I79" s="38"/>
      <c r="J79" s="38"/>
      <c r="K79" s="38"/>
      <c r="L79" s="38"/>
      <c r="M79" s="38"/>
      <c r="N79" s="40"/>
    </row>
    <row r="80" spans="2:14" ht="14.4" x14ac:dyDescent="0.3">
      <c r="D80" s="32"/>
    </row>
    <row r="81" spans="3:4" ht="14.4" hidden="1" x14ac:dyDescent="0.3">
      <c r="D81" s="32"/>
    </row>
    <row r="82" spans="3:4" ht="14.4" hidden="1" x14ac:dyDescent="0.3">
      <c r="D82" s="32"/>
    </row>
    <row r="83" spans="3:4" ht="14.4" hidden="1" x14ac:dyDescent="0.3">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defaultColWidth="8.77734375" defaultRowHeight="14.4" x14ac:dyDescent="0.3"/>
  <cols>
    <col min="1" max="2" width="4.77734375" customWidth="1"/>
  </cols>
  <sheetData>
    <row r="1" spans="1:15" x14ac:dyDescent="0.3">
      <c r="A1" t="s">
        <v>165</v>
      </c>
    </row>
    <row r="2" spans="1:15" x14ac:dyDescent="0.3">
      <c r="B2">
        <v>1</v>
      </c>
      <c r="C2" t="s">
        <v>166</v>
      </c>
    </row>
    <row r="3" spans="1:15" x14ac:dyDescent="0.3">
      <c r="B3" t="s">
        <v>167</v>
      </c>
      <c r="C3" t="s">
        <v>272</v>
      </c>
    </row>
    <row r="4" spans="1:15" x14ac:dyDescent="0.3">
      <c r="A4" s="59" t="s">
        <v>168</v>
      </c>
      <c r="B4" s="59" t="s">
        <v>169</v>
      </c>
      <c r="C4" s="59" t="s">
        <v>273</v>
      </c>
      <c r="D4" s="59"/>
      <c r="E4" s="59"/>
      <c r="F4" s="59"/>
      <c r="G4" s="59"/>
      <c r="H4" s="59"/>
      <c r="I4" s="59"/>
      <c r="J4" s="59"/>
      <c r="K4" s="59"/>
      <c r="L4" s="59"/>
      <c r="M4" s="59"/>
      <c r="N4" s="59"/>
      <c r="O4" s="59"/>
    </row>
    <row r="5" spans="1:15" x14ac:dyDescent="0.3">
      <c r="B5" t="s">
        <v>170</v>
      </c>
      <c r="C5" t="s">
        <v>274</v>
      </c>
    </row>
    <row r="7" spans="1:15" x14ac:dyDescent="0.3">
      <c r="B7">
        <v>2</v>
      </c>
      <c r="C7" t="s">
        <v>275</v>
      </c>
    </row>
    <row r="8" spans="1:15" x14ac:dyDescent="0.3">
      <c r="A8" s="59" t="s">
        <v>168</v>
      </c>
      <c r="B8" s="59" t="s">
        <v>167</v>
      </c>
      <c r="C8" s="59" t="s">
        <v>276</v>
      </c>
      <c r="D8" s="59"/>
      <c r="E8" s="59"/>
      <c r="F8" s="59"/>
      <c r="G8" s="59"/>
      <c r="H8" s="59"/>
      <c r="I8" s="59"/>
      <c r="J8" s="59"/>
      <c r="K8" s="59"/>
      <c r="L8" s="59"/>
      <c r="M8" s="59"/>
      <c r="N8" s="59"/>
      <c r="O8" s="59"/>
    </row>
    <row r="9" spans="1:15" x14ac:dyDescent="0.3">
      <c r="B9" t="s">
        <v>169</v>
      </c>
      <c r="C9" t="s">
        <v>277</v>
      </c>
    </row>
    <row r="10" spans="1:15" x14ac:dyDescent="0.3">
      <c r="B10" t="s">
        <v>170</v>
      </c>
      <c r="C10" t="s">
        <v>180</v>
      </c>
    </row>
    <row r="12" spans="1:15" x14ac:dyDescent="0.3">
      <c r="B12">
        <v>3</v>
      </c>
      <c r="C12" t="s">
        <v>278</v>
      </c>
    </row>
    <row r="13" spans="1:15" x14ac:dyDescent="0.3">
      <c r="B13" t="s">
        <v>167</v>
      </c>
      <c r="C13" t="s">
        <v>279</v>
      </c>
    </row>
    <row r="14" spans="1:15" x14ac:dyDescent="0.3">
      <c r="A14" s="59" t="s">
        <v>168</v>
      </c>
      <c r="B14" s="59" t="s">
        <v>169</v>
      </c>
      <c r="C14" s="59" t="s">
        <v>280</v>
      </c>
      <c r="D14" s="59"/>
      <c r="E14" s="59"/>
      <c r="F14" s="59"/>
      <c r="G14" s="59"/>
      <c r="H14" s="59"/>
      <c r="I14" s="59"/>
      <c r="J14" s="59"/>
      <c r="K14" s="59"/>
      <c r="L14" s="59"/>
      <c r="M14" s="59"/>
      <c r="N14" s="59"/>
      <c r="O14" s="59"/>
    </row>
    <row r="15" spans="1:15" x14ac:dyDescent="0.3">
      <c r="B15" t="s">
        <v>170</v>
      </c>
      <c r="C15" t="s">
        <v>281</v>
      </c>
    </row>
    <row r="17" spans="1:15" x14ac:dyDescent="0.3">
      <c r="B17">
        <v>4</v>
      </c>
      <c r="C17" t="s">
        <v>282</v>
      </c>
    </row>
    <row r="18" spans="1:15" x14ac:dyDescent="0.3">
      <c r="B18" t="s">
        <v>167</v>
      </c>
      <c r="C18" t="s">
        <v>283</v>
      </c>
    </row>
    <row r="19" spans="1:15" x14ac:dyDescent="0.3">
      <c r="A19" s="59" t="s">
        <v>168</v>
      </c>
      <c r="B19" s="59" t="s">
        <v>169</v>
      </c>
      <c r="C19" s="59" t="s">
        <v>284</v>
      </c>
      <c r="D19" s="59"/>
      <c r="E19" s="59"/>
      <c r="F19" s="59"/>
      <c r="G19" s="59"/>
      <c r="H19" s="59"/>
      <c r="I19" s="59"/>
      <c r="J19" s="59"/>
      <c r="K19" s="59"/>
      <c r="L19" s="59"/>
      <c r="M19" s="59"/>
      <c r="N19" s="59"/>
      <c r="O19" s="59"/>
    </row>
    <row r="20" spans="1:15" x14ac:dyDescent="0.3">
      <c r="B20" t="s">
        <v>170</v>
      </c>
      <c r="C20" t="s">
        <v>285</v>
      </c>
    </row>
    <row r="22" spans="1:15" x14ac:dyDescent="0.3">
      <c r="B22">
        <v>5</v>
      </c>
      <c r="C22" t="s">
        <v>171</v>
      </c>
    </row>
    <row r="23" spans="1:15" x14ac:dyDescent="0.3">
      <c r="B23" t="s">
        <v>167</v>
      </c>
      <c r="C23" t="s">
        <v>286</v>
      </c>
    </row>
    <row r="24" spans="1:15" x14ac:dyDescent="0.3">
      <c r="B24" t="s">
        <v>169</v>
      </c>
      <c r="C24" t="s">
        <v>287</v>
      </c>
    </row>
    <row r="25" spans="1:15" x14ac:dyDescent="0.3">
      <c r="A25" s="59" t="s">
        <v>168</v>
      </c>
      <c r="B25" s="59" t="s">
        <v>170</v>
      </c>
      <c r="C25" s="59" t="s">
        <v>288</v>
      </c>
      <c r="D25" s="59"/>
      <c r="E25" s="59"/>
      <c r="F25" s="59"/>
      <c r="G25" s="59"/>
      <c r="H25" s="59"/>
      <c r="I25" s="59"/>
      <c r="J25" s="59"/>
      <c r="K25" s="59"/>
      <c r="L25" s="59"/>
      <c r="M25" s="59"/>
      <c r="N25" s="59"/>
      <c r="O25" s="59"/>
    </row>
    <row r="27" spans="1:15" x14ac:dyDescent="0.3">
      <c r="A27">
        <v>6</v>
      </c>
      <c r="B27" t="s">
        <v>289</v>
      </c>
    </row>
    <row r="28" spans="1:15" x14ac:dyDescent="0.3">
      <c r="B28" t="s">
        <v>290</v>
      </c>
    </row>
    <row r="29" spans="1:15" x14ac:dyDescent="0.3">
      <c r="A29" s="59" t="s">
        <v>168</v>
      </c>
      <c r="B29" s="59" t="s">
        <v>291</v>
      </c>
      <c r="C29" s="59"/>
    </row>
    <row r="30" spans="1:15" x14ac:dyDescent="0.3">
      <c r="B30" t="s">
        <v>292</v>
      </c>
    </row>
    <row r="31" spans="1:15" x14ac:dyDescent="0.3">
      <c r="B31" t="s">
        <v>293</v>
      </c>
    </row>
    <row r="33" spans="1:3" x14ac:dyDescent="0.3">
      <c r="A33">
        <v>7</v>
      </c>
      <c r="B33" t="s">
        <v>294</v>
      </c>
    </row>
    <row r="34" spans="1:3" x14ac:dyDescent="0.3">
      <c r="A34" s="59" t="s">
        <v>168</v>
      </c>
      <c r="B34" s="59" t="s">
        <v>295</v>
      </c>
      <c r="C34" s="59"/>
    </row>
    <row r="35" spans="1:3" x14ac:dyDescent="0.3">
      <c r="B35" t="s">
        <v>296</v>
      </c>
    </row>
    <row r="36" spans="1:3" x14ac:dyDescent="0.3">
      <c r="B36" t="s">
        <v>297</v>
      </c>
    </row>
    <row r="37" spans="1:3" x14ac:dyDescent="0.3">
      <c r="B37" t="s">
        <v>298</v>
      </c>
    </row>
    <row r="39" spans="1:3" x14ac:dyDescent="0.3">
      <c r="A39">
        <v>8</v>
      </c>
      <c r="B39" t="s">
        <v>299</v>
      </c>
    </row>
    <row r="40" spans="1:3" x14ac:dyDescent="0.3">
      <c r="B40" t="s">
        <v>300</v>
      </c>
    </row>
    <row r="41" spans="1:3" x14ac:dyDescent="0.3">
      <c r="A41" s="59" t="s">
        <v>168</v>
      </c>
      <c r="B41" s="59" t="s">
        <v>301</v>
      </c>
      <c r="C41" s="59"/>
    </row>
    <row r="42" spans="1:3" x14ac:dyDescent="0.3">
      <c r="B42" t="s">
        <v>302</v>
      </c>
    </row>
    <row r="43" spans="1:3" x14ac:dyDescent="0.3">
      <c r="B43" t="s">
        <v>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2026-09-24T17:57:41Z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