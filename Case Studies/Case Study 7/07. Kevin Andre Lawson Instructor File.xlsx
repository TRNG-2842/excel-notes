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mc:AlternateContent>
  <xr:revisionPtr revIDLastSave="0" documentId="13_ncr:1_{E1259C42-CBFA-4A6E-BB54-F366F20B4A9D}" xr6:coauthVersionLast="47" xr6:coauthVersionMax="47" xr10:uidLastSave="{00000000-0000-0000-0000-000000000000}"/>
  <bookViews>
    <workbookView xWindow="-28920" yWindow="45" windowWidth="29040" windowHeight="15720" tabRatio="869" xr2:uid="{297E3F9B-E661-414D-B8E2-AB02E90981A9}"/>
  </bookViews>
  <sheets>
    <sheet name="Investigation Guide" sheetId="12" r:id="rId1"/>
    <sheet name="Party &amp; Accounts Details" sheetId="1" r:id="rId2"/>
    <sheet name="Accounts" sheetId="2" r:id="rId3"/>
    <sheet name="Event Details" sheetId="5" r:id="rId4"/>
    <sheet name="Transactions" sheetId="4" r:id="rId5"/>
    <sheet name="Support_Docs" sheetId="7" r:id="rId6"/>
    <sheet name="Open_Source_Research" sheetId="8" r:id="rId7"/>
    <sheet name="Disposition &amp; Narrative" sheetId="9" r:id="rId8"/>
    <sheet name="SAR Structured Form" sheetId="10" r:id="rId9"/>
    <sheet name="Case Study Questions" sheetId="13" r:id="rId10"/>
  </sheets>
  <definedNames>
    <definedName name="_xlnm._FilterDatabase" localSheetId="3" hidden="1">'Event Details'!$A$3:$F$3</definedName>
    <definedName name="_xlnm._FilterDatabase" localSheetId="4" hidden="1">Transactions!$A$1:$AB$169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9"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31"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4"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40"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50"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63"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<sst xmlns="http://schemas.openxmlformats.org/spreadsheetml/2006/main" count="2708" uniqueCount="491">
  <si>
    <t>CASE STUDY INVESTIGATION GUIDE</t>
  </si>
  <si>
    <t>Follow the steps, document the evidence reviewed, and base the final disposition on the full activity pattern.</t>
  </si>
  <si>
    <t>INVESTIGATION OBJECTIVE</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</si>
  <si>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</si>
  <si>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</si>
  <si>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</si>
  <si>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</si>
  <si>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</si>
  <si>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</si>
  <si>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</si>
  <si>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</si>
  <si>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Accounts</t>
  </si>
  <si>
    <t>0 DOS and alerted accounts</t>
  </si>
  <si>
    <t>Identify the account showing 0 in '# of Alerted Events as O DOS' and distinguish it from the account(s) with alerted events. Record the number of alerted events for each account.</t>
  </si>
  <si>
    <t>Event Details</t>
  </si>
  <si>
    <t>Alerted transactions</t>
  </si>
  <si>
    <t>Each alerted event will describe the type, date, account, amount, and debit/credit direction. Use these details to locate the same activity in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</si>
  <si>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</si>
  <si>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</si>
  <si>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</si>
  <si>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Support_Docs</t>
  </si>
  <si>
    <t>Supporting documents</t>
  </si>
  <si>
    <t>If information is available in this tab, compare payor details, endorsements, transaction dates, amounts, and account information against transaction records. Identify and document any missing, inconsistent, or unsupported information.</t>
  </si>
  <si>
    <t>Not Required for this case Study</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</si>
  <si>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</si>
  <si>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</si>
  <si>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</si>
  <si>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</si>
  <si>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</si>
  <si>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</si>
  <si>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</si>
  <si>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</si>
  <si>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</si>
  <si>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</si>
  <si>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</si>
  <si>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After completing the investigation, answer the questions using the evidence in the workbook. Reconcile answers to the final narrative and disposition.</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</si>
  <si>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</si>
  <si>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</si>
  <si>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 xml:space="preserve">Doug Harry Montgomery </t>
  </si>
  <si>
    <t>CUSTOMER INFORMATION</t>
  </si>
  <si>
    <t>BANK RELATIONSHIP INFORMATION</t>
  </si>
  <si>
    <t>Title/Address</t>
  </si>
  <si>
    <t>4821 Cedar Grove Lane</t>
  </si>
  <si>
    <t>Customer Since:</t>
  </si>
  <si>
    <t>Dallas, TX 75219</t>
  </si>
  <si>
    <t>Party ID:</t>
  </si>
  <si>
    <t>United States</t>
  </si>
  <si>
    <t>CONTACT INFORMATION</t>
  </si>
  <si>
    <t>Cell Phone:</t>
  </si>
  <si>
    <t>(214) 555-7813</t>
  </si>
  <si>
    <t>TIN/SSN:</t>
  </si>
  <si>
    <t>456-78-9012</t>
  </si>
  <si>
    <t>E-mail:</t>
  </si>
  <si>
    <t>dharris1985@@email.com</t>
  </si>
  <si>
    <t>Date of Birth:</t>
  </si>
  <si>
    <t>Occupation:</t>
  </si>
  <si>
    <t>Customer Service Representative</t>
  </si>
  <si>
    <t>Employer:</t>
  </si>
  <si>
    <t>Dallas Office Solutions LLC</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</si>
  <si>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</si>
  <si>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</si>
  <si>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</si>
  <si>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</si>
  <si>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</si>
  <si>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</si>
  <si>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</si>
  <si>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</si>
  <si>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</si>
  <si>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</si>
  <si>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</si>
  <si>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</si>
  <si>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</si>
  <si>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</si>
  <si>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</si>
  <si>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</si>
  <si>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</si>
  <si>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</si>
  <si>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</si>
  <si>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</si>
  <si>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OTM P2P</t>
  </si>
  <si>
    <t>C</t>
  </si>
  <si>
    <t>P2P</t>
  </si>
  <si>
    <t>D</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</si>
  <si>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</si>
  <si>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</si>
  <si>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</si>
  <si>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</si>
  <si>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</si>
  <si>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</si>
  <si>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</si>
  <si>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</si>
  <si>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</si>
  <si>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</si>
  <si>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</si>
  <si>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</si>
  <si>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</si>
  <si>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</si>
  <si>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</si>
  <si>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</si>
  <si>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</si>
  <si>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</si>
  <si>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</si>
  <si>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</si>
  <si>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</si>
  <si>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</si>
  <si>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</si>
  <si>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</si>
  <si>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</si>
  <si>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Doug Harry Montgomery</t>
  </si>
  <si>
    <t>P</t>
  </si>
  <si>
    <t xml:space="preserve">P2P  </t>
  </si>
  <si>
    <t>Group 2</t>
  </si>
  <si>
    <t>Zelle received</t>
  </si>
  <si>
    <t>Emily Chen</t>
  </si>
  <si>
    <t>Bank of America</t>
  </si>
  <si>
    <t>ZELLE-S-1003</t>
  </si>
  <si>
    <t>Doug Harry Montgomenry</t>
  </si>
  <si>
    <t>3478912057643</t>
  </si>
  <si>
    <t>Rent share</t>
  </si>
  <si>
    <t>Group 3</t>
  </si>
  <si>
    <t>Zelle sent</t>
  </si>
  <si>
    <t>Trevor King</t>
  </si>
  <si>
    <t>Wells Fargo</t>
  </si>
  <si>
    <t>ZELLE-R-3003</t>
  </si>
  <si>
    <t>Robert Williams</t>
  </si>
  <si>
    <t>ZELLE-S-1044</t>
  </si>
  <si>
    <t>Thanks</t>
  </si>
  <si>
    <t>Maria Hernandez</t>
  </si>
  <si>
    <t>ZELLE-S-1050</t>
  </si>
  <si>
    <t>Marcus Reed</t>
  </si>
  <si>
    <t>Chase</t>
  </si>
  <si>
    <t>ZELLE-R-3001</t>
  </si>
  <si>
    <t>Debit Card</t>
  </si>
  <si>
    <t>Untagged</t>
  </si>
  <si>
    <t>Neighborhood restaurant</t>
  </si>
  <si>
    <t>7512 6068 3976 4318</t>
  </si>
  <si>
    <t>Dallas</t>
  </si>
  <si>
    <t>TX</t>
  </si>
  <si>
    <t>POS-DAL-1801</t>
  </si>
  <si>
    <t/>
  </si>
  <si>
    <t>Cash</t>
  </si>
  <si>
    <t>Group 1</t>
  </si>
  <si>
    <t>Teller cash deposit</t>
  </si>
  <si>
    <t>TX-DAL-05</t>
  </si>
  <si>
    <t>TELLER08</t>
  </si>
  <si>
    <t>DEPOSITOR-08</t>
  </si>
  <si>
    <t>UNKNOWN</t>
  </si>
  <si>
    <t>Irving</t>
  </si>
  <si>
    <t>TX-IRV-02</t>
  </si>
  <si>
    <t>TELLER02</t>
  </si>
  <si>
    <t>DEPOSITOR-02</t>
  </si>
  <si>
    <t>Isabella Hall</t>
  </si>
  <si>
    <t>ZELLE-S-1057</t>
  </si>
  <si>
    <t>Plano</t>
  </si>
  <si>
    <t>TX-PLN-03</t>
  </si>
  <si>
    <t>TELLER07</t>
  </si>
  <si>
    <t>DEPOSITOR-03</t>
  </si>
  <si>
    <t>Andrew Walker</t>
  </si>
  <si>
    <t>Citibank</t>
  </si>
  <si>
    <t>ZELLE-S-1016</t>
  </si>
  <si>
    <t>Payment</t>
  </si>
  <si>
    <t>ZELLE-R-2003</t>
  </si>
  <si>
    <t>Jordan Price</t>
  </si>
  <si>
    <t>ZELLE-R-3004</t>
  </si>
  <si>
    <t>Patricia Garcia</t>
  </si>
  <si>
    <t>ZELLE-S-1069</t>
  </si>
  <si>
    <t>PNC Bank</t>
  </si>
  <si>
    <t>ZELLE-S-1029</t>
  </si>
  <si>
    <t>ACH</t>
  </si>
  <si>
    <t>Internet service</t>
  </si>
  <si>
    <t>AT&amp;T Internet</t>
  </si>
  <si>
    <t>UTIL-ATT</t>
  </si>
  <si>
    <t>Kroger</t>
  </si>
  <si>
    <t>POS-DAL-0203</t>
  </si>
  <si>
    <t>Alicia Gomez</t>
  </si>
  <si>
    <t>ZELLE-R-3002</t>
  </si>
  <si>
    <t>Matthew Rodriguez</t>
  </si>
  <si>
    <t>ZELLE-S-1034</t>
  </si>
  <si>
    <t>ZELLE-S-1063</t>
  </si>
  <si>
    <t>Walgreens</t>
  </si>
  <si>
    <t>POS-DAL-0216</t>
  </si>
  <si>
    <t>POS-DAL-1601</t>
  </si>
  <si>
    <t>Jessica Brown</t>
  </si>
  <si>
    <t>ZELLE-S-1045</t>
  </si>
  <si>
    <t>Shell Gas Station</t>
  </si>
  <si>
    <t>POS-DAL-0218</t>
  </si>
  <si>
    <t>Shell</t>
  </si>
  <si>
    <t>Payroll deposit</t>
  </si>
  <si>
    <t>PAYROLL-DSO-0223</t>
  </si>
  <si>
    <t>U.S. Bank</t>
  </si>
  <si>
    <t>ZELLE-S-1030</t>
  </si>
  <si>
    <t>James Taylor</t>
  </si>
  <si>
    <t>ZELLE-S-1068</t>
  </si>
  <si>
    <t xml:space="preserve">Cash </t>
  </si>
  <si>
    <t>ATM cash withdrawal</t>
  </si>
  <si>
    <t>ATM-DAL-14</t>
  </si>
  <si>
    <t>Cash withdrawal</t>
  </si>
  <si>
    <t>ZELLE-R-2002</t>
  </si>
  <si>
    <t>Local restaurant</t>
  </si>
  <si>
    <t>POS-DAL-2901</t>
  </si>
  <si>
    <t>Monthly rent</t>
  </si>
  <si>
    <t>Cedar Grove Apartments</t>
  </si>
  <si>
    <t>RENT-4821</t>
  </si>
  <si>
    <t>ZELLE-S-1014</t>
  </si>
  <si>
    <t>ZELLE-S-1017</t>
  </si>
  <si>
    <t>David Garcia</t>
  </si>
  <si>
    <t>ZELLE-S-1042</t>
  </si>
  <si>
    <t>Daniel Harris</t>
  </si>
  <si>
    <t>ZELLE-S-1052</t>
  </si>
  <si>
    <t>Internal Transfer</t>
  </si>
  <si>
    <t>Transfer to savings 6184</t>
  </si>
  <si>
    <t>8514029736184</t>
  </si>
  <si>
    <t>ZELLE-R-2001</t>
  </si>
  <si>
    <t>Fort Worth</t>
  </si>
  <si>
    <t>TX-FTW-01</t>
  </si>
  <si>
    <t>TELLER03</t>
  </si>
  <si>
    <t>DEPOSITOR-04</t>
  </si>
  <si>
    <t>ZELLE-S-1009</t>
  </si>
  <si>
    <t>Auto insurance</t>
  </si>
  <si>
    <t>State Farm</t>
  </si>
  <si>
    <t>INS-SF</t>
  </si>
  <si>
    <t>CVS Pharmacy</t>
  </si>
  <si>
    <t>POS-DAL-2101</t>
  </si>
  <si>
    <t>Mia Young</t>
  </si>
  <si>
    <t>ZELLE-S-1039</t>
  </si>
  <si>
    <t>Vanessa Cole</t>
  </si>
  <si>
    <t>ZELLE-R-3005</t>
  </si>
  <si>
    <t>Chris Jones</t>
  </si>
  <si>
    <t>ZELLE-S-1066</t>
  </si>
  <si>
    <t>Walmart</t>
  </si>
  <si>
    <t>POS-DAL-0212</t>
  </si>
  <si>
    <t>Sarah Miller</t>
  </si>
  <si>
    <t>ZELLE-S-1041</t>
  </si>
  <si>
    <t>Richardson</t>
  </si>
  <si>
    <t>TX-RIC-02</t>
  </si>
  <si>
    <t>TELLER06</t>
  </si>
  <si>
    <t>DEPOSITOR-07</t>
  </si>
  <si>
    <t>PAYROLL-DSO-0209</t>
  </si>
  <si>
    <t>ZELLE-S-1056</t>
  </si>
  <si>
    <t>ATM-DAL-28</t>
  </si>
  <si>
    <t>ZELLE-S-1061</t>
  </si>
  <si>
    <t>ZELLE-S-1021</t>
  </si>
  <si>
    <t>POS-DAL-0221</t>
  </si>
  <si>
    <t>Garland</t>
  </si>
  <si>
    <t>TX-GAR-01</t>
  </si>
  <si>
    <t>TELLER01</t>
  </si>
  <si>
    <t>DEPOSITOR-06</t>
  </si>
  <si>
    <t>Tom Thumb</t>
  </si>
  <si>
    <t>Target</t>
  </si>
  <si>
    <t>POS-DAL-2701</t>
  </si>
  <si>
    <t>ZELLE-S-1048</t>
  </si>
  <si>
    <t>Sophia Lewis</t>
  </si>
  <si>
    <t>ZELLE-S-1055</t>
  </si>
  <si>
    <t>Mobile phone bill</t>
  </si>
  <si>
    <t>T-Mobile</t>
  </si>
  <si>
    <t>UTIL-TMO</t>
  </si>
  <si>
    <t>POS-DAL-0228</t>
  </si>
  <si>
    <t>POS-DAL-0207</t>
  </si>
  <si>
    <t>ZELLE-S-1065</t>
  </si>
  <si>
    <t>Coffee shop</t>
  </si>
  <si>
    <t>POS-DAL-2601</t>
  </si>
  <si>
    <t>Alexander King</t>
  </si>
  <si>
    <t>ZELLE-S-1060</t>
  </si>
  <si>
    <t>ZELLE-S-1062</t>
  </si>
  <si>
    <t>ZELLE-S-1006</t>
  </si>
  <si>
    <t>Amanda White</t>
  </si>
  <si>
    <t>ZELLE-S-1011</t>
  </si>
  <si>
    <t>ZELLE-S-1008</t>
  </si>
  <si>
    <t>ZELLE-S-1019</t>
  </si>
  <si>
    <t>ZELLE-S-1043</t>
  </si>
  <si>
    <t>ATM-DAL-0213</t>
  </si>
  <si>
    <t>TX-DAL-01</t>
  </si>
  <si>
    <t>TELLER04</t>
  </si>
  <si>
    <t>DEPOSITOR-01</t>
  </si>
  <si>
    <t>Linda Martinez</t>
  </si>
  <si>
    <t>ZELLE-S-1067</t>
  </si>
  <si>
    <t>POS-DAL-0205</t>
  </si>
  <si>
    <t>POS-DAL-0214B</t>
  </si>
  <si>
    <t>Exxon</t>
  </si>
  <si>
    <t>POS-DAL-0224</t>
  </si>
  <si>
    <t>ATM-DAL-0226</t>
  </si>
  <si>
    <t>Joseph Allen</t>
  </si>
  <si>
    <t>ZELLE-S-1058</t>
  </si>
  <si>
    <t>PAYROLL-DSO-1229</t>
  </si>
  <si>
    <t>Streaming subscription</t>
  </si>
  <si>
    <t>Netflix</t>
  </si>
  <si>
    <t>SUB-NFLX</t>
  </si>
  <si>
    <t>POS-DAL-0225</t>
  </si>
  <si>
    <t>ZELLE-S-1036</t>
  </si>
  <si>
    <t>ZELLE-S-1002</t>
  </si>
  <si>
    <t>POS-DAL-0222</t>
  </si>
  <si>
    <t>Olivia Clark</t>
  </si>
  <si>
    <t>ZELLE-S-1013</t>
  </si>
  <si>
    <t>POS-DAL-0208</t>
  </si>
  <si>
    <t>ZELLE-S-1038</t>
  </si>
  <si>
    <t>ZELLE-S-1049</t>
  </si>
  <si>
    <t>ZELLE-S-1053</t>
  </si>
  <si>
    <t>POS-DAL-0303</t>
  </si>
  <si>
    <t>POS-DAL-3001</t>
  </si>
  <si>
    <t>Electric utility</t>
  </si>
  <si>
    <t>TXU Energy</t>
  </si>
  <si>
    <t>JPMorgan Chase</t>
  </si>
  <si>
    <t>UTIL-TXU</t>
  </si>
  <si>
    <t>ZELLE-S-1010</t>
  </si>
  <si>
    <t>ZELLE-S-1015</t>
  </si>
  <si>
    <t>ZELLE-S-1024</t>
  </si>
  <si>
    <t>ZELLE-S-1047</t>
  </si>
  <si>
    <t>ZELLE-S-1031</t>
  </si>
  <si>
    <t>ZELLE-S-1051</t>
  </si>
  <si>
    <t>ZELLE-S-1037</t>
  </si>
  <si>
    <t>POS-DAL-2401</t>
  </si>
  <si>
    <t>PAYROLL-DSO-0112</t>
  </si>
  <si>
    <t>ZELLE-S-1001</t>
  </si>
  <si>
    <t>POS-DAL-1701</t>
  </si>
  <si>
    <t>POS-DAL-2301</t>
  </si>
  <si>
    <t>ZELLE-S-1012</t>
  </si>
  <si>
    <t>ZELLE-S-1027</t>
  </si>
  <si>
    <t>POS-DAL-0220</t>
  </si>
  <si>
    <t>ZELLE-S-1026</t>
  </si>
  <si>
    <t>ZELLE-S-1018</t>
  </si>
  <si>
    <t>ZELLE-S-1054</t>
  </si>
  <si>
    <t>POS-DAL-0217</t>
  </si>
  <si>
    <t>POS-DAL-0227</t>
  </si>
  <si>
    <t>ZELLE-S-1033</t>
  </si>
  <si>
    <t>POS-DAL-0219</t>
  </si>
  <si>
    <t>Arlington</t>
  </si>
  <si>
    <t>TX-ARL-02</t>
  </si>
  <si>
    <t>TELLER05</t>
  </si>
  <si>
    <t>DEPOSITOR-05</t>
  </si>
  <si>
    <t>ZELLE-S-1046</t>
  </si>
  <si>
    <t>ZELLE-S-1040</t>
  </si>
  <si>
    <t>PAYROLL-DSO-0126</t>
  </si>
  <si>
    <t>ZELLE-S-1004</t>
  </si>
  <si>
    <t>ZELLE-S-1032</t>
  </si>
  <si>
    <t>POS-DAL-0206</t>
  </si>
  <si>
    <t>POS-DAL-0204</t>
  </si>
  <si>
    <t>ZELLE-S-1023</t>
  </si>
  <si>
    <t>ZELLE-S-1025</t>
  </si>
  <si>
    <t>ZELLE-S-1035</t>
  </si>
  <si>
    <t>ZELLE-S-1007</t>
  </si>
  <si>
    <t>ZELLE-S-1059</t>
  </si>
  <si>
    <t>ZELLE-S-1020</t>
  </si>
  <si>
    <t>POS-DAL-0211</t>
  </si>
  <si>
    <t>ZELLE-S-1064</t>
  </si>
  <si>
    <t>ZELLE-S-1022</t>
  </si>
  <si>
    <t>ZELLE-S-1005</t>
  </si>
  <si>
    <t>ZELLE-S-1028</t>
  </si>
  <si>
    <t>POS-DAL-0214</t>
  </si>
  <si>
    <t>Instruction: insert screenshots that clearly display the links used in your open source research.</t>
  </si>
  <si>
    <t>INVESTIGATION OUTCOME
Bank of America, N.A. (BANA) is filing a SAR on Doug Harry Montgomery to report unknown sources of funds from incoming cash and P2P activity, and no apparent economic or business purpose for the P2P activity between 01/02/2026 and 06/22/2026 totaling $141,788.37.
A review of the client's personal checking account (#3478912057643) was conducted to investigate the activity. The client, Doug Harry Montgomery, is listed as a Customer Service Representative employed by Dallas Office Solutions LLC. The account received monthly payroll deposits from the stated employer along with routine consumer activity; however, these legitimate transactions do not explain the volume and pattern of third-party cash and P2P activity.
The account received eight teller cash deposits totaling $27,800.00 across seven Dallas-Fort Worth-area cities. The source of the cash was not identified. The pattern of geographically dispersed deposits is inconsistent with the expected activity of a personal account.
$4,650.00 on 01/08/2026 in Dallas, TX 
$3,200.00 on 01/09/2026 in Irving, TX 
$2,950.00 on 01/12/2026 in Plano, TX 
$4,100.00 on 02/18/2026 in Fort Worth, TX 
$3,450.00 on 02/27/2026 in Richardson, TX 
$3,900.00 on 03/09/2026 in Garland, TX 
$2,800.00 on 03/31/2026 in Dallas, TX 
$2,750.00 on 05/25/2026 in Arlington, TX 
The incoming funds were supplemented by 69 P2P counterparties totaling $47,350.00 from several distintic counterparties with no clear relationship with the customer. Examples include $775.00 from Emily Chen at Bank of America on 01/02/2026, $675.00 from Robert Williams at Wells Fargo on 01/07/2026, $900.00 from Maria Hernandez at Wells Fargo on 01/07/2026, $825.00 from Isabella Hall at Bank of America on 01/12/2026, $900.00 from Andrew Walker at Citibank on 01/14/2026, and $950.00 from Patricia Garcia at PNC Bank on 01/16/2026.
The funds were then moved out through 34 P2P payments totaling $66,638.37 to five counterparties. The comments on the P2P transactions were blank or vague and included “Payment,” “Rent share,” and “Thanks.” 
$18,939.12 in 9 payments to Alicia Gomez at Bank of America 
$17,813.94 in 9 payments to Marcus Reed at Chase 
$17,266.16 in 8 payments to Trevor King at Wells Fargo 
$6,832.54 in 4 payments to Jordan Price at Citibank
$5,786.61 in 4 payments to Vanessa Cole at PNC Bank 
The pattern of cash deposits across multiple cities and numerous P2P receipts from unrelated individuals, followed by the concentration of funds to a small group of recipients,  are an indicaitive to obscure the origin and purpose of funds. This acitvity poses a significant money laundering risk. Although payroll deposits and ordinary living expenses were identified, the client's employment does not explain the volume of cash and P2P activity. Therefore, this activity is deemed suspicious, and a Suspicious Activity Report (SAR) is being filed.
Customer Doug Harry Montgomery (DOB 06/06/1985) is located in Dallas, TX. Internal records list the occupation as Customer Service Representative and the employer as Dallas Office Solutions LLC. Open-source research failed to find any pertinent information.</t>
  </si>
  <si>
    <t>Please fill in applicable fields based on the SAR Narrative drafted.  Some additional comments and/or guidance is available in the comments fields.</t>
  </si>
  <si>
    <t>Events</t>
  </si>
  <si>
    <t>Report on Following RFI</t>
  </si>
  <si>
    <t>Bank of America, NA</t>
  </si>
  <si>
    <t>Suspect(s)</t>
  </si>
  <si>
    <t>Report on the following Account(s)</t>
  </si>
  <si>
    <t>Danny Harry Montgomery</t>
  </si>
  <si>
    <t>Select Branch Information</t>
  </si>
  <si>
    <t>Branch Name</t>
  </si>
  <si>
    <t xml:space="preserve">City </t>
  </si>
  <si>
    <t xml:space="preserve">Arlington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</si>
  <si>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</si>
  <si>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</si>
  <si>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</si>
  <si>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</si>
  <si>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</si>
  <si>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</si>
  <si>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</si>
  <si>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</si>
  <si>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</si>
  <si>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</si>
  <si>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</si>
  <si>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</si>
  <si>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</si>
  <si>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</si>
  <si>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</si>
  <si>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</si>
  <si>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</si>
  <si>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</si>
  <si>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</si>
  <si>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</si>
  <si>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</si>
  <si>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</si>
  <si>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</si>
  <si>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</si>
  <si>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</si>
  <si>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</si>
  <si>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</si>
  <si>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</si>
  <si>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</si>
  <si>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</si>
  <si>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</si>
  <si>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</si>
  <si>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</si>
  <si>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</si>
  <si>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</si>
  <si>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</si>
  <si>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</si>
  <si>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</si>
  <si>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</si>
  <si>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</si>
  <si>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</si>
  <si>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</si>
  <si>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</si>
  <si>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</si>
  <si>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</si>
  <si>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</si>
  <si>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</si>
  <si>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</si>
  <si>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</si>
  <si>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</si>
  <si>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</si>
  <si>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</si>
  <si>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</si>
  <si>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</si>
  <si>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</si>
  <si>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</si>
  <si>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</si>
  <si>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</si>
  <si>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</si>
  <si>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</si>
  <si>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</si>
  <si>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</si>
  <si>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</si>
  <si>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</si>
  <si>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</si>
  <si>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</si>
  <si>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</si>
  <si>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</si>
  <si>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</si>
  <si>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</si>
  <si>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</si>
  <si>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</si>
  <si>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</si>
  <si>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</si>
  <si>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</si>
  <si>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</si>
  <si>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</si>
  <si>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</si>
  <si>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</si>
  <si>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</si>
  <si>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CASE STUDY QUESTIONNAIRE</t>
  </si>
  <si>
    <t>Select one answer for each question by choosing X in column A. Questions require reconciliation of the Disposition &amp; Narrative and SAR Structured Form.</t>
  </si>
  <si>
    <t>SELECT</t>
  </si>
  <si>
    <t>OPTION</t>
  </si>
  <si>
    <t>ANSWER</t>
  </si>
  <si>
    <t>1. How is the suspicious activity amount of $141,788.37 reconciled in the narrative?</t>
  </si>
  <si>
    <t>A</t>
  </si>
  <si>
    <t>$12,250.00 payroll + $66,638.37 outgoing P2P + $62,900.00 cash deposits</t>
  </si>
  <si>
    <t>B</t>
  </si>
  <si>
    <t>$27,800.00 cash deposits + $47,350.00 incoming P2P + $66,638.37 outgoing P2P</t>
  </si>
  <si>
    <t>$75,150.00 total credits + $66,638.37 total account debits</t>
  </si>
  <si>
    <t>2. Which fact most strongly distinguishes the activity from normal personal-account use?</t>
  </si>
  <si>
    <t>Monthly payroll deposits from the stated employer</t>
  </si>
  <si>
    <t>Routine rent, utility, and grocery payments</t>
  </si>
  <si>
    <t>Cash deposits across seven cities and P2P receipts from many unrelated parties</t>
  </si>
  <si>
    <t>Transfers from the DDA to the customer’s savings account</t>
  </si>
  <si>
    <t>3. Which statement correctly reconciles the alerted events to the customer’s accounts?</t>
  </si>
  <si>
    <t>The savings account ending 6184 had 15 alerted events; the DDA had none</t>
  </si>
  <si>
    <t>The DDA ending 7643 had 15 alerted events; the savings account ending 6184 had none</t>
  </si>
  <si>
    <t>Both accounts had alerted events because funds moved between them</t>
  </si>
  <si>
    <t>4. Which recipient concentration most strongly supports the narrative’s risk assessment?</t>
  </si>
  <si>
    <t>Jordan Price and Vanessa Cole received $54,019.22</t>
  </si>
  <si>
    <t>All five recipients received equal amounts, indicating no concentration</t>
  </si>
  <si>
    <t>Alicia Gomez, Marcus Reed, and Trevor King received $54,019.22</t>
  </si>
  <si>
    <t>5. Which finding most strongly supports possible layering of funds?</t>
  </si>
  <si>
    <t>Five payroll credits from the customer’s employer</t>
  </si>
  <si>
    <t>Recurring consumer purchases in the Dallas area</t>
  </si>
  <si>
    <t>Both customer accounts remained open during the review</t>
  </si>
  <si>
    <t>Cash deposits and P2P inflows followed by concentrated P2P payments to five recipients</t>
  </si>
  <si>
    <t>6. Which SAR product and payment-mechanism selections best match the reported activity?</t>
  </si>
  <si>
    <t>Credit card; foreign currency; cashier’s checks</t>
  </si>
  <si>
    <t>Deposit account; funds transfer/P2P; U.S. currency</t>
  </si>
  <si>
    <t>Residential mortgage; personal checks; money orders</t>
  </si>
  <si>
    <t>Securities account; prepaid access; travelers checks</t>
  </si>
  <si>
    <t>7. Which facts provide mitigation but do not adequately explain the suspicious activity?</t>
  </si>
  <si>
    <t>The use of five recipient banks and seven deposit cities</t>
  </si>
  <si>
    <t>Blank or vague P2P notes and unidentified cash depositors</t>
  </si>
  <si>
    <t>Monthly payroll from Dallas Office Solutions LLC and ordinary consumer expenses</t>
  </si>
  <si>
    <t>The concentration of outgoing P2P funds among three recipients</t>
  </si>
  <si>
    <t>8. Which unresolved issue is most important to the final SAR decision?</t>
  </si>
  <si>
    <t>The customer used several local grocery and fuel merchants</t>
  </si>
  <si>
    <t>The savings account opened after the DDA</t>
  </si>
  <si>
    <t>The customer received payroll from the listed employer</t>
  </si>
  <si>
    <t>The source of cash and the purpose of P2P transfers remain unsupported</t>
  </si>
  <si>
    <t>9. What amount should be entered in SAR field 29?</t>
  </si>
  <si>
    <t>10. Which location entry and SAR checkbox best match the cash-deposits?</t>
  </si>
  <si>
    <t>List Dallas, TX only; select “Transaction involving a foreign high-risk jurisdiction”</t>
  </si>
  <si>
    <t>List Dallas, Irving, Plano, Fort Worth, Richardson, Garland, and Arlington, TX; select “Suspicious use of multiple transaction locations”</t>
  </si>
  <si>
    <t>List Dallas, Irving, Plano, Fort Worth, Richardson, Garland, and Arlington, TX; select “Suspicious EFT/wire transfers”</t>
  </si>
  <si>
    <t>List the customer’s home address only; select “Suspicious use of multiple transaction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</si>
</sst>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3" formatCode="_(* #,##0.00_);_(* \(#,##0.00\);_(* &quot;-&quot;??_);_(@_)"/>
    <numFmt numFmtId="164" formatCode="&quot;$&quot;#,##0.00"/>
    <numFmt numFmtId="165" formatCode="0.00_);[Red]\(0.00\)"/>
    <numFmt numFmtId="166" formatCode="#,##0.00;[Red]\(#,##0.00\)"/>
    <numFmt numFmtId="167" formatCode="&quot;$&quot;#,##0.00;[Red]\(&quot;$&quot;#,##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2"/>
      <color rgb="FF17365D"/>
      <name val="Aptos"/>
    </font>
    <font>
      <sz val="9"/>
      <color theme="1"/>
      <name val="Segoe UI"/>
      <family val="2"/>
    </font>
    <font>
      <sz val="11"/>
      <color rgb="FF000000"/>
      <name val="Aptos"/>
      <family val="2"/>
    </font>
    <font>
      <b/>
      <sz val="11"/>
      <color rgb="FF006100"/>
      <name val="Aptos"/>
      <family val="2"/>
    </font>
  </fonts>
  <fills count="1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D9EAF7"/>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EB8325"/>
        <bgColor indexed="64"/>
      </patternFill>
    </fill>
    <fill>
      <patternFill patternType="solid">
        <fgColor rgb="FFC6EFCE"/>
        <bgColor indexed="64"/>
      </patternFill>
    </fill>
    <fill>
      <patternFill patternType="solid">
        <fgColor theme="5" tint="0.79998168889431442"/>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66">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43" fontId="0" fillId="0" borderId="0" xfId="0" applyNumberFormat="1"/>
    <xf numFmtId="14" fontId="10" fillId="0" borderId="16" xfId="0" applyNumberFormat="1" applyFont="1" applyBorder="1" applyAlignment="1">
      <alignment horizontal="left" vertical="center"/>
    </xf>
    <xf numFmtId="0" fontId="14" fillId="0" borderId="0" xfId="0" applyFont="1" applyAlignment="1">
      <alignment vertical="center"/>
    </xf>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2"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2"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22"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26" fillId="0" borderId="32" xfId="0" applyFont="1" applyBorder="1" applyAlignment="1">
      <alignment wrapText="1"/>
    </xf>
    <xf numFmtId="49" fontId="0" fillId="0" borderId="0" xfId="0" applyNumberFormat="1"/>
    <xf numFmtId="166" fontId="0" fillId="0" borderId="0" xfId="1" applyNumberFormat="1" applyFont="1"/>
    <xf numFmtId="167" fontId="0" fillId="0" borderId="0" xfId="1" applyNumberFormat="1" applyFont="1"/>
    <xf numFmtId="167" fontId="0" fillId="4" borderId="0" xfId="1" applyNumberFormat="1" applyFont="1" applyFill="1"/>
    <xf numFmtId="18" fontId="0" fillId="0" borderId="0" xfId="0" applyNumberFormat="1"/>
    <xf numFmtId="167" fontId="0" fillId="0" borderId="0" xfId="1" applyNumberFormat="1" applyFont="1" applyFill="1"/>
    <xf numFmtId="167" fontId="0" fillId="12" borderId="0" xfId="1" applyNumberFormat="1" applyFont="1" applyFill="1"/>
    <xf numFmtId="167" fontId="0" fillId="13" borderId="0" xfId="1" applyNumberFormat="1" applyFont="1" applyFill="1"/>
    <xf numFmtId="167" fontId="0" fillId="14" borderId="0" xfId="1" applyNumberFormat="1" applyFont="1" applyFill="1"/>
    <xf numFmtId="167" fontId="0" fillId="15" borderId="0" xfId="1" applyNumberFormat="1" applyFont="1" applyFill="1"/>
    <xf numFmtId="2" fontId="0" fillId="0" borderId="0" xfId="0" applyNumberFormat="1"/>
    <xf numFmtId="165" fontId="0" fillId="0" borderId="0" xfId="0" applyNumberFormat="1"/>
    <xf numFmtId="0" fontId="26" fillId="0" borderId="0" xfId="0" applyFont="1" applyAlignment="1">
      <alignment wrapText="1"/>
    </xf>
    <xf numFmtId="0" fontId="27" fillId="8" borderId="28" xfId="0" applyFont="1" applyFill="1" applyBorder="1" applyAlignment="1">
      <alignment horizontal="center" wrapText="1"/>
    </xf>
    <xf numFmtId="0" fontId="27" fillId="8" borderId="29" xfId="0" applyFont="1" applyFill="1" applyBorder="1" applyAlignment="1">
      <alignment horizontal="center" wrapText="1"/>
    </xf>
    <xf numFmtId="0" fontId="29" fillId="9" borderId="31" xfId="0" applyFont="1" applyFill="1" applyBorder="1" applyAlignment="1">
      <alignment horizontal="center" vertical="center" wrapText="1"/>
    </xf>
    <xf numFmtId="0" fontId="26" fillId="9" borderId="31" xfId="0" applyFont="1" applyFill="1" applyBorder="1" applyAlignment="1">
      <alignment wrapText="1"/>
    </xf>
    <xf numFmtId="0" fontId="29" fillId="9" borderId="34" xfId="0" applyFont="1" applyFill="1" applyBorder="1" applyAlignment="1">
      <alignment horizontal="center" vertical="center" wrapText="1"/>
    </xf>
    <xf numFmtId="0" fontId="30" fillId="0" borderId="0" xfId="0" applyFont="1" applyAlignment="1">
      <alignment vertical="center" wrapText="1"/>
    </xf>
    <xf numFmtId="0" fontId="31" fillId="0" borderId="32" xfId="0" applyFont="1" applyBorder="1" applyAlignment="1">
      <alignment vertical="center" wrapText="1"/>
    </xf>
    <xf numFmtId="0" fontId="31" fillId="0" borderId="32" xfId="0" applyFont="1" applyBorder="1" applyAlignment="1">
      <alignment horizontal="center" vertical="center" wrapText="1"/>
    </xf>
    <xf numFmtId="0" fontId="31" fillId="0" borderId="32" xfId="0" applyFont="1" applyBorder="1" applyAlignment="1">
      <alignment wrapText="1"/>
    </xf>
    <xf numFmtId="0" fontId="31" fillId="0" borderId="32" xfId="0" applyFont="1" applyBorder="1" applyAlignment="1">
      <alignment horizontal="center" wrapText="1"/>
    </xf>
    <xf numFmtId="6" fontId="31" fillId="0" borderId="32" xfId="0" applyNumberFormat="1" applyFont="1" applyBorder="1" applyAlignment="1">
      <alignment horizontal="left" vertical="center" wrapText="1"/>
    </xf>
    <xf numFmtId="0" fontId="31" fillId="0" borderId="35" xfId="0" applyFont="1" applyBorder="1" applyAlignment="1">
      <alignment vertical="center" wrapText="1"/>
    </xf>
    <xf numFmtId="0" fontId="31" fillId="0" borderId="35" xfId="0" applyFont="1" applyBorder="1" applyAlignment="1">
      <alignment horizontal="center" vertical="center" wrapText="1"/>
    </xf>
    <xf numFmtId="8" fontId="31" fillId="0" borderId="32" xfId="0" applyNumberFormat="1" applyFont="1" applyBorder="1" applyAlignment="1">
      <alignment horizontal="left" vertical="center" wrapText="1"/>
    </xf>
    <xf numFmtId="6" fontId="31" fillId="0" borderId="35" xfId="0" applyNumberFormat="1" applyFont="1" applyBorder="1" applyAlignment="1">
      <alignment horizontal="left" vertical="center" wrapText="1"/>
    </xf>
    <xf numFmtId="0" fontId="32" fillId="16" borderId="32" xfId="0" applyFont="1" applyFill="1" applyBorder="1" applyAlignment="1">
      <alignment horizontal="center" vertical="center" wrapText="1"/>
    </xf>
    <xf numFmtId="0" fontId="32" fillId="16" borderId="32" xfId="0" applyFont="1" applyFill="1" applyBorder="1" applyAlignment="1">
      <alignment vertical="center" wrapText="1"/>
    </xf>
    <xf numFmtId="6" fontId="32" fillId="16" borderId="32" xfId="0" applyNumberFormat="1" applyFont="1" applyFill="1" applyBorder="1" applyAlignment="1">
      <alignment horizontal="left" vertical="center" wrapText="1"/>
    </xf>
    <xf numFmtId="0" fontId="32" fillId="16" borderId="32" xfId="0" applyFont="1" applyFill="1" applyBorder="1" applyAlignment="1">
      <alignment horizontal="center" wrapText="1"/>
    </xf>
    <xf numFmtId="0" fontId="32" fillId="16" borderId="32" xfId="0" applyFont="1" applyFill="1" applyBorder="1" applyAlignment="1">
      <alignment wrapText="1"/>
    </xf>
    <xf numFmtId="0" fontId="32" fillId="16" borderId="35" xfId="0" applyFont="1" applyFill="1" applyBorder="1" applyAlignment="1">
      <alignment horizontal="center" vertical="center" wrapText="1"/>
    </xf>
    <xf numFmtId="0" fontId="32" fillId="16" borderId="35" xfId="0" applyFont="1" applyFill="1" applyBorder="1" applyAlignment="1">
      <alignment vertical="center" wrapText="1"/>
    </xf>
    <xf numFmtId="0" fontId="16" fillId="17" borderId="31" xfId="0" applyFont="1" applyFill="1" applyBorder="1" applyAlignment="1">
      <alignment horizontal="center" vertical="top"/>
    </xf>
    <xf numFmtId="0" fontId="22" fillId="17" borderId="32" xfId="0" applyFont="1" applyFill="1" applyBorder="1" applyAlignment="1">
      <alignment vertical="top"/>
    </xf>
    <xf numFmtId="0" fontId="0" fillId="17" borderId="32" xfId="0" applyFill="1" applyBorder="1" applyAlignment="1">
      <alignment vertical="top" wrapText="1"/>
    </xf>
    <xf numFmtId="0" fontId="0" fillId="17" borderId="33" xfId="0" applyFill="1" applyBorder="1" applyAlignment="1">
      <alignment vertical="top" wrapText="1"/>
    </xf>
    <xf numFmtId="0" fontId="0" fillId="17" borderId="0" xfId="0" applyFill="1"/>
    <xf numFmtId="0" fontId="23" fillId="10" borderId="0" xfId="0" applyFont="1" applyFill="1" applyAlignment="1">
      <alignment wrapText="1"/>
    </xf>
    <xf numFmtId="0" fontId="18" fillId="5" borderId="0" xfId="0" applyFont="1" applyFill="1" applyAlignment="1">
      <alignment vertical="center"/>
    </xf>
    <xf numFmtId="0" fontId="19" fillId="0" borderId="0" xfId="0" applyFont="1" applyAlignment="1">
      <alignment wrapText="1"/>
    </xf>
    <xf numFmtId="0" fontId="20" fillId="6" borderId="0" xfId="0" applyFont="1" applyFill="1"/>
    <xf numFmtId="0" fontId="21"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8" fillId="9" borderId="31" xfId="0" applyFont="1" applyFill="1" applyBorder="1" applyAlignment="1">
      <alignment vertical="center" wrapText="1"/>
    </xf>
    <xf numFmtId="0" fontId="28" fillId="11" borderId="32" xfId="0" applyFont="1" applyFill="1" applyBorder="1" applyAlignment="1">
      <alignment vertical="center" wrapText="1"/>
    </xf>
    <xf numFmtId="0" fontId="24" fillId="5" borderId="0" xfId="0" applyFont="1" applyFill="1" applyAlignment="1">
      <alignment vertical="center"/>
    </xf>
    <xf numFmtId="0" fontId="25" fillId="0" borderId="0" xfId="0" applyFont="1" applyAlignment="1">
      <alignment horizont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EB83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285750</xdr:colOff>
          <xdr:row>35</xdr:row>
          <xdr:rowOff>38100</xdr:rowOff>
        </xdr:from>
        <xdr:to>
          <xdr:col>1</xdr:col>
          <xdr:colOff>552450</xdr:colOff>
          <xdr:row>36</xdr:row>
          <xdr:rowOff>9525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36</xdr:row>
          <xdr:rowOff>38100</xdr:rowOff>
        </xdr:from>
        <xdr:to>
          <xdr:col>1</xdr:col>
          <xdr:colOff>552450</xdr:colOff>
          <xdr:row>37</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37</xdr:row>
          <xdr:rowOff>38100</xdr:rowOff>
        </xdr:from>
        <xdr:to>
          <xdr:col>1</xdr:col>
          <xdr:colOff>552450</xdr:colOff>
          <xdr:row>38</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35</xdr:row>
          <xdr:rowOff>38100</xdr:rowOff>
        </xdr:from>
        <xdr:to>
          <xdr:col>6</xdr:col>
          <xdr:colOff>552450</xdr:colOff>
          <xdr:row>36</xdr:row>
          <xdr:rowOff>9525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36</xdr:row>
          <xdr:rowOff>38100</xdr:rowOff>
        </xdr:from>
        <xdr:to>
          <xdr:col>6</xdr:col>
          <xdr:colOff>552450</xdr:colOff>
          <xdr:row>37</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37</xdr:row>
          <xdr:rowOff>38100</xdr:rowOff>
        </xdr:from>
        <xdr:to>
          <xdr:col>6</xdr:col>
          <xdr:colOff>552450</xdr:colOff>
          <xdr:row>38</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41</xdr:row>
          <xdr:rowOff>38100</xdr:rowOff>
        </xdr:from>
        <xdr:to>
          <xdr:col>1</xdr:col>
          <xdr:colOff>552450</xdr:colOff>
          <xdr:row>42</xdr:row>
          <xdr:rowOff>9525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43</xdr:row>
          <xdr:rowOff>38100</xdr:rowOff>
        </xdr:from>
        <xdr:to>
          <xdr:col>1</xdr:col>
          <xdr:colOff>552450</xdr:colOff>
          <xdr:row>44</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44</xdr:row>
          <xdr:rowOff>38100</xdr:rowOff>
        </xdr:from>
        <xdr:to>
          <xdr:col>1</xdr:col>
          <xdr:colOff>552450</xdr:colOff>
          <xdr:row>45</xdr:row>
          <xdr:rowOff>9525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45</xdr:row>
          <xdr:rowOff>38100</xdr:rowOff>
        </xdr:from>
        <xdr:to>
          <xdr:col>1</xdr:col>
          <xdr:colOff>552450</xdr:colOff>
          <xdr:row>46</xdr:row>
          <xdr:rowOff>9525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46</xdr:row>
          <xdr:rowOff>38100</xdr:rowOff>
        </xdr:from>
        <xdr:to>
          <xdr:col>1</xdr:col>
          <xdr:colOff>552450</xdr:colOff>
          <xdr:row>47</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47</xdr:row>
          <xdr:rowOff>38100</xdr:rowOff>
        </xdr:from>
        <xdr:to>
          <xdr:col>1</xdr:col>
          <xdr:colOff>552450</xdr:colOff>
          <xdr:row>48</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64</xdr:row>
          <xdr:rowOff>38100</xdr:rowOff>
        </xdr:from>
        <xdr:to>
          <xdr:col>1</xdr:col>
          <xdr:colOff>552450</xdr:colOff>
          <xdr:row>65</xdr:row>
          <xdr:rowOff>9525</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64</xdr:row>
          <xdr:rowOff>38100</xdr:rowOff>
        </xdr:from>
        <xdr:to>
          <xdr:col>1</xdr:col>
          <xdr:colOff>552450</xdr:colOff>
          <xdr:row>65</xdr:row>
          <xdr:rowOff>9525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66</xdr:row>
          <xdr:rowOff>38100</xdr:rowOff>
        </xdr:from>
        <xdr:to>
          <xdr:col>1</xdr:col>
          <xdr:colOff>552450</xdr:colOff>
          <xdr:row>67</xdr:row>
          <xdr:rowOff>9525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65</xdr:row>
          <xdr:rowOff>38100</xdr:rowOff>
        </xdr:from>
        <xdr:to>
          <xdr:col>1</xdr:col>
          <xdr:colOff>552450</xdr:colOff>
          <xdr:row>66</xdr:row>
          <xdr:rowOff>9525</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67</xdr:row>
          <xdr:rowOff>38100</xdr:rowOff>
        </xdr:from>
        <xdr:to>
          <xdr:col>1</xdr:col>
          <xdr:colOff>552450</xdr:colOff>
          <xdr:row>68</xdr:row>
          <xdr:rowOff>9525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68</xdr:row>
          <xdr:rowOff>38100</xdr:rowOff>
        </xdr:from>
        <xdr:to>
          <xdr:col>1</xdr:col>
          <xdr:colOff>552450</xdr:colOff>
          <xdr:row>69</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69</xdr:row>
          <xdr:rowOff>38100</xdr:rowOff>
        </xdr:from>
        <xdr:to>
          <xdr:col>1</xdr:col>
          <xdr:colOff>552450</xdr:colOff>
          <xdr:row>70</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70</xdr:row>
          <xdr:rowOff>38100</xdr:rowOff>
        </xdr:from>
        <xdr:to>
          <xdr:col>1</xdr:col>
          <xdr:colOff>552450</xdr:colOff>
          <xdr:row>71</xdr:row>
          <xdr:rowOff>9525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71</xdr:row>
          <xdr:rowOff>38100</xdr:rowOff>
        </xdr:from>
        <xdr:to>
          <xdr:col>1</xdr:col>
          <xdr:colOff>552450</xdr:colOff>
          <xdr:row>72</xdr:row>
          <xdr:rowOff>9525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64</xdr:row>
          <xdr:rowOff>38100</xdr:rowOff>
        </xdr:from>
        <xdr:to>
          <xdr:col>3</xdr:col>
          <xdr:colOff>552450</xdr:colOff>
          <xdr:row>65</xdr:row>
          <xdr:rowOff>9525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65</xdr:row>
          <xdr:rowOff>38100</xdr:rowOff>
        </xdr:from>
        <xdr:to>
          <xdr:col>3</xdr:col>
          <xdr:colOff>552450</xdr:colOff>
          <xdr:row>66</xdr:row>
          <xdr:rowOff>9525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66</xdr:row>
          <xdr:rowOff>38100</xdr:rowOff>
        </xdr:from>
        <xdr:to>
          <xdr:col>3</xdr:col>
          <xdr:colOff>552450</xdr:colOff>
          <xdr:row>67</xdr:row>
          <xdr:rowOff>9525</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67</xdr:row>
          <xdr:rowOff>38100</xdr:rowOff>
        </xdr:from>
        <xdr:to>
          <xdr:col>3</xdr:col>
          <xdr:colOff>552450</xdr:colOff>
          <xdr:row>68</xdr:row>
          <xdr:rowOff>9525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68</xdr:row>
          <xdr:rowOff>38100</xdr:rowOff>
        </xdr:from>
        <xdr:to>
          <xdr:col>3</xdr:col>
          <xdr:colOff>552450</xdr:colOff>
          <xdr:row>69</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69</xdr:row>
          <xdr:rowOff>38100</xdr:rowOff>
        </xdr:from>
        <xdr:to>
          <xdr:col>3</xdr:col>
          <xdr:colOff>552450</xdr:colOff>
          <xdr:row>70</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70</xdr:row>
          <xdr:rowOff>38100</xdr:rowOff>
        </xdr:from>
        <xdr:to>
          <xdr:col>3</xdr:col>
          <xdr:colOff>552450</xdr:colOff>
          <xdr:row>71</xdr:row>
          <xdr:rowOff>9525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71</xdr:row>
          <xdr:rowOff>38100</xdr:rowOff>
        </xdr:from>
        <xdr:to>
          <xdr:col>3</xdr:col>
          <xdr:colOff>552450</xdr:colOff>
          <xdr:row>72</xdr:row>
          <xdr:rowOff>9525</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64</xdr:row>
          <xdr:rowOff>38100</xdr:rowOff>
        </xdr:from>
        <xdr:to>
          <xdr:col>6</xdr:col>
          <xdr:colOff>552450</xdr:colOff>
          <xdr:row>65</xdr:row>
          <xdr:rowOff>9525</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65</xdr:row>
          <xdr:rowOff>38100</xdr:rowOff>
        </xdr:from>
        <xdr:to>
          <xdr:col>6</xdr:col>
          <xdr:colOff>552450</xdr:colOff>
          <xdr:row>66</xdr:row>
          <xdr:rowOff>9525</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66</xdr:row>
          <xdr:rowOff>38100</xdr:rowOff>
        </xdr:from>
        <xdr:to>
          <xdr:col>6</xdr:col>
          <xdr:colOff>552450</xdr:colOff>
          <xdr:row>67</xdr:row>
          <xdr:rowOff>9525</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67</xdr:row>
          <xdr:rowOff>38100</xdr:rowOff>
        </xdr:from>
        <xdr:to>
          <xdr:col>6</xdr:col>
          <xdr:colOff>552450</xdr:colOff>
          <xdr:row>68</xdr:row>
          <xdr:rowOff>9525</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68</xdr:row>
          <xdr:rowOff>38100</xdr:rowOff>
        </xdr:from>
        <xdr:to>
          <xdr:col>6</xdr:col>
          <xdr:colOff>552450</xdr:colOff>
          <xdr:row>69</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76</xdr:row>
          <xdr:rowOff>38100</xdr:rowOff>
        </xdr:from>
        <xdr:to>
          <xdr:col>6</xdr:col>
          <xdr:colOff>552450</xdr:colOff>
          <xdr:row>77</xdr:row>
          <xdr:rowOff>9525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77</xdr:row>
          <xdr:rowOff>38100</xdr:rowOff>
        </xdr:from>
        <xdr:to>
          <xdr:col>6</xdr:col>
          <xdr:colOff>552450</xdr:colOff>
          <xdr:row>78</xdr:row>
          <xdr:rowOff>9525</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77</xdr:row>
          <xdr:rowOff>38100</xdr:rowOff>
        </xdr:from>
        <xdr:to>
          <xdr:col>6</xdr:col>
          <xdr:colOff>552450</xdr:colOff>
          <xdr:row>78</xdr:row>
          <xdr:rowOff>9525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78</xdr:row>
          <xdr:rowOff>38100</xdr:rowOff>
        </xdr:from>
        <xdr:to>
          <xdr:col>6</xdr:col>
          <xdr:colOff>552450</xdr:colOff>
          <xdr:row>79</xdr:row>
          <xdr:rowOff>9525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78</xdr:row>
          <xdr:rowOff>38100</xdr:rowOff>
        </xdr:from>
        <xdr:to>
          <xdr:col>6</xdr:col>
          <xdr:colOff>552450</xdr:colOff>
          <xdr:row>79</xdr:row>
          <xdr:rowOff>9525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78</xdr:row>
          <xdr:rowOff>38100</xdr:rowOff>
        </xdr:from>
        <xdr:to>
          <xdr:col>6</xdr:col>
          <xdr:colOff>552450</xdr:colOff>
          <xdr:row>79</xdr:row>
          <xdr:rowOff>9525</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79</xdr:row>
          <xdr:rowOff>38100</xdr:rowOff>
        </xdr:from>
        <xdr:to>
          <xdr:col>6</xdr:col>
          <xdr:colOff>552450</xdr:colOff>
          <xdr:row>80</xdr:row>
          <xdr:rowOff>9525</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76</xdr:row>
          <xdr:rowOff>38100</xdr:rowOff>
        </xdr:from>
        <xdr:to>
          <xdr:col>3</xdr:col>
          <xdr:colOff>552450</xdr:colOff>
          <xdr:row>77</xdr:row>
          <xdr:rowOff>9525</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76</xdr:row>
          <xdr:rowOff>38100</xdr:rowOff>
        </xdr:from>
        <xdr:to>
          <xdr:col>3</xdr:col>
          <xdr:colOff>552450</xdr:colOff>
          <xdr:row>77</xdr:row>
          <xdr:rowOff>9525</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76</xdr:row>
          <xdr:rowOff>38100</xdr:rowOff>
        </xdr:from>
        <xdr:to>
          <xdr:col>3</xdr:col>
          <xdr:colOff>552450</xdr:colOff>
          <xdr:row>77</xdr:row>
          <xdr:rowOff>9525</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76</xdr:row>
          <xdr:rowOff>38100</xdr:rowOff>
        </xdr:from>
        <xdr:to>
          <xdr:col>3</xdr:col>
          <xdr:colOff>552450</xdr:colOff>
          <xdr:row>77</xdr:row>
          <xdr:rowOff>9525</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77</xdr:row>
          <xdr:rowOff>38100</xdr:rowOff>
        </xdr:from>
        <xdr:to>
          <xdr:col>3</xdr:col>
          <xdr:colOff>552450</xdr:colOff>
          <xdr:row>78</xdr:row>
          <xdr:rowOff>9525</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77</xdr:row>
          <xdr:rowOff>38100</xdr:rowOff>
        </xdr:from>
        <xdr:to>
          <xdr:col>3</xdr:col>
          <xdr:colOff>552450</xdr:colOff>
          <xdr:row>78</xdr:row>
          <xdr:rowOff>9525</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77</xdr:row>
          <xdr:rowOff>38100</xdr:rowOff>
        </xdr:from>
        <xdr:to>
          <xdr:col>3</xdr:col>
          <xdr:colOff>552450</xdr:colOff>
          <xdr:row>78</xdr:row>
          <xdr:rowOff>9525</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77</xdr:row>
          <xdr:rowOff>38100</xdr:rowOff>
        </xdr:from>
        <xdr:to>
          <xdr:col>3</xdr:col>
          <xdr:colOff>552450</xdr:colOff>
          <xdr:row>78</xdr:row>
          <xdr:rowOff>9525</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77</xdr:row>
          <xdr:rowOff>38100</xdr:rowOff>
        </xdr:from>
        <xdr:to>
          <xdr:col>3</xdr:col>
          <xdr:colOff>552450</xdr:colOff>
          <xdr:row>78</xdr:row>
          <xdr:rowOff>9525</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78</xdr:row>
          <xdr:rowOff>38100</xdr:rowOff>
        </xdr:from>
        <xdr:to>
          <xdr:col>3</xdr:col>
          <xdr:colOff>552450</xdr:colOff>
          <xdr:row>79</xdr:row>
          <xdr:rowOff>9525</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77</xdr:row>
          <xdr:rowOff>38100</xdr:rowOff>
        </xdr:from>
        <xdr:to>
          <xdr:col>1</xdr:col>
          <xdr:colOff>552450</xdr:colOff>
          <xdr:row>78</xdr:row>
          <xdr:rowOff>9525</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78</xdr:row>
          <xdr:rowOff>38100</xdr:rowOff>
        </xdr:from>
        <xdr:to>
          <xdr:col>1</xdr:col>
          <xdr:colOff>552450</xdr:colOff>
          <xdr:row>79</xdr:row>
          <xdr:rowOff>9525</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76</xdr:row>
          <xdr:rowOff>38100</xdr:rowOff>
        </xdr:from>
        <xdr:to>
          <xdr:col>1</xdr:col>
          <xdr:colOff>552450</xdr:colOff>
          <xdr:row>77</xdr:row>
          <xdr:rowOff>9525</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41</xdr:row>
          <xdr:rowOff>0</xdr:rowOff>
        </xdr:from>
        <xdr:to>
          <xdr:col>5</xdr:col>
          <xdr:colOff>47625</xdr:colOff>
          <xdr:row>41</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42</xdr:row>
          <xdr:rowOff>0</xdr:rowOff>
        </xdr:from>
        <xdr:to>
          <xdr:col>5</xdr:col>
          <xdr:colOff>47625</xdr:colOff>
          <xdr:row>42</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43</xdr:row>
          <xdr:rowOff>0</xdr:rowOff>
        </xdr:from>
        <xdr:to>
          <xdr:col>5</xdr:col>
          <xdr:colOff>47625</xdr:colOff>
          <xdr:row>43</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44</xdr:row>
          <xdr:rowOff>0</xdr:rowOff>
        </xdr:from>
        <xdr:to>
          <xdr:col>5</xdr:col>
          <xdr:colOff>47625</xdr:colOff>
          <xdr:row>44</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45</xdr:row>
          <xdr:rowOff>0</xdr:rowOff>
        </xdr:from>
        <xdr:to>
          <xdr:col>5</xdr:col>
          <xdr:colOff>47625</xdr:colOff>
          <xdr:row>45</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46</xdr:row>
          <xdr:rowOff>0</xdr:rowOff>
        </xdr:from>
        <xdr:to>
          <xdr:col>5</xdr:col>
          <xdr:colOff>47625</xdr:colOff>
          <xdr:row>46</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42</xdr:row>
          <xdr:rowOff>38100</xdr:rowOff>
        </xdr:from>
        <xdr:to>
          <xdr:col>1</xdr:col>
          <xdr:colOff>552450</xdr:colOff>
          <xdr:row>43</xdr:row>
          <xdr:rowOff>9525</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51</xdr:row>
          <xdr:rowOff>38100</xdr:rowOff>
        </xdr:from>
        <xdr:to>
          <xdr:col>1</xdr:col>
          <xdr:colOff>552450</xdr:colOff>
          <xdr:row>52</xdr:row>
          <xdr:rowOff>9525</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52</xdr:row>
          <xdr:rowOff>38100</xdr:rowOff>
        </xdr:from>
        <xdr:to>
          <xdr:col>1</xdr:col>
          <xdr:colOff>552450</xdr:colOff>
          <xdr:row>53</xdr:row>
          <xdr:rowOff>9525</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53</xdr:row>
          <xdr:rowOff>38100</xdr:rowOff>
        </xdr:from>
        <xdr:to>
          <xdr:col>1</xdr:col>
          <xdr:colOff>552450</xdr:colOff>
          <xdr:row>54</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54</xdr:row>
          <xdr:rowOff>38100</xdr:rowOff>
        </xdr:from>
        <xdr:to>
          <xdr:col>1</xdr:col>
          <xdr:colOff>552450</xdr:colOff>
          <xdr:row>55</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55</xdr:row>
          <xdr:rowOff>38100</xdr:rowOff>
        </xdr:from>
        <xdr:to>
          <xdr:col>1</xdr:col>
          <xdr:colOff>552450</xdr:colOff>
          <xdr:row>56</xdr:row>
          <xdr:rowOff>9525</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56</xdr:row>
          <xdr:rowOff>38100</xdr:rowOff>
        </xdr:from>
        <xdr:to>
          <xdr:col>1</xdr:col>
          <xdr:colOff>552450</xdr:colOff>
          <xdr:row>57</xdr:row>
          <xdr:rowOff>9525</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57</xdr:row>
          <xdr:rowOff>38100</xdr:rowOff>
        </xdr:from>
        <xdr:to>
          <xdr:col>1</xdr:col>
          <xdr:colOff>552450</xdr:colOff>
          <xdr:row>58</xdr:row>
          <xdr:rowOff>9525</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58</xdr:row>
          <xdr:rowOff>38100</xdr:rowOff>
        </xdr:from>
        <xdr:to>
          <xdr:col>1</xdr:col>
          <xdr:colOff>552450</xdr:colOff>
          <xdr:row>59</xdr:row>
          <xdr:rowOff>9525</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59</xdr:row>
          <xdr:rowOff>38100</xdr:rowOff>
        </xdr:from>
        <xdr:to>
          <xdr:col>1</xdr:col>
          <xdr:colOff>552450</xdr:colOff>
          <xdr:row>60</xdr:row>
          <xdr:rowOff>9525</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60</xdr:row>
          <xdr:rowOff>38100</xdr:rowOff>
        </xdr:from>
        <xdr:to>
          <xdr:col>1</xdr:col>
          <xdr:colOff>552450</xdr:colOff>
          <xdr:row>61</xdr:row>
          <xdr:rowOff>9525</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51</xdr:row>
          <xdr:rowOff>38100</xdr:rowOff>
        </xdr:from>
        <xdr:to>
          <xdr:col>3</xdr:col>
          <xdr:colOff>552450</xdr:colOff>
          <xdr:row>52</xdr:row>
          <xdr:rowOff>9525</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52</xdr:row>
          <xdr:rowOff>38100</xdr:rowOff>
        </xdr:from>
        <xdr:to>
          <xdr:col>3</xdr:col>
          <xdr:colOff>552450</xdr:colOff>
          <xdr:row>53</xdr:row>
          <xdr:rowOff>9525</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54</xdr:row>
          <xdr:rowOff>38100</xdr:rowOff>
        </xdr:from>
        <xdr:to>
          <xdr:col>3</xdr:col>
          <xdr:colOff>552450</xdr:colOff>
          <xdr:row>55</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53</xdr:row>
          <xdr:rowOff>38100</xdr:rowOff>
        </xdr:from>
        <xdr:to>
          <xdr:col>3</xdr:col>
          <xdr:colOff>552450</xdr:colOff>
          <xdr:row>54</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55</xdr:row>
          <xdr:rowOff>38100</xdr:rowOff>
        </xdr:from>
        <xdr:to>
          <xdr:col>3</xdr:col>
          <xdr:colOff>552450</xdr:colOff>
          <xdr:row>56</xdr:row>
          <xdr:rowOff>9525</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56</xdr:row>
          <xdr:rowOff>38100</xdr:rowOff>
        </xdr:from>
        <xdr:to>
          <xdr:col>3</xdr:col>
          <xdr:colOff>552450</xdr:colOff>
          <xdr:row>57</xdr:row>
          <xdr:rowOff>9525</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51</xdr:row>
          <xdr:rowOff>38100</xdr:rowOff>
        </xdr:from>
        <xdr:to>
          <xdr:col>6</xdr:col>
          <xdr:colOff>552450</xdr:colOff>
          <xdr:row>52</xdr:row>
          <xdr:rowOff>9525</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52</xdr:row>
          <xdr:rowOff>38100</xdr:rowOff>
        </xdr:from>
        <xdr:to>
          <xdr:col>6</xdr:col>
          <xdr:colOff>552450</xdr:colOff>
          <xdr:row>53</xdr:row>
          <xdr:rowOff>9525</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54</xdr:row>
          <xdr:rowOff>38100</xdr:rowOff>
        </xdr:from>
        <xdr:to>
          <xdr:col>6</xdr:col>
          <xdr:colOff>552450</xdr:colOff>
          <xdr:row>55</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53</xdr:row>
          <xdr:rowOff>38100</xdr:rowOff>
        </xdr:from>
        <xdr:to>
          <xdr:col>6</xdr:col>
          <xdr:colOff>552450</xdr:colOff>
          <xdr:row>54</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41</xdr:row>
          <xdr:rowOff>0</xdr:rowOff>
        </xdr:from>
        <xdr:to>
          <xdr:col>5</xdr:col>
          <xdr:colOff>47625</xdr:colOff>
          <xdr:row>41</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9"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31" dT="2023-06-22T13:22:23.74" personId="{539CCB64-F552-4ADD-8E8A-5748070FFEE0}" id="{FF6863A5-56E6-4E5A-98DD-FAFA8D360190}">
    <text>Only use this field when filing a continuing activity report.  This will add the previous filing amount to the new report amount</text>
  </threadedComment>
  <threadedComment ref="C34"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40"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50"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63"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mailto:kevin.lawson91@e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E19"/>
  <sheetViews>
    <sheetView tabSelected="1" workbookViewId="0">
      <selection sqref="A1:D1"/>
    </sheetView>
  </sheetViews>
  <sheetFormatPr defaultRowHeight="15" x14ac:dyDescent="0.25"/>
  <cols>
    <col min="1" max="1" width="8.7109375" customWidth="1"/>
    <col min="2" max="2" width="28.140625" customWidth="1"/>
    <col min="3" max="3" width="31.85546875" customWidth="1"/>
    <col min="4" max="4" width="63" customWidth="1"/>
    <col min="5" max="5" width="30" bestFit="1" customWidth="1"/>
  </cols>
  <sheetData>
    <row r="1" spans="1:5" ht="32.1" customHeight="1" x14ac:dyDescent="0.25">
      <c r="A1" s="118" t="s">
        <v>0</v>
      </c>
      <c r="B1" s="118"/>
      <c r="C1" s="118"/>
      <c r="D1" s="118"/>
    </row>
    <row r="2" spans="1:5" ht="27.95" customHeight="1" x14ac:dyDescent="0.25">
      <c r="A2" s="119" t="s">
        <v>1</v>
      </c>
      <c r="B2" s="119"/>
      <c r="C2" s="119"/>
      <c r="D2" s="119"/>
    </row>
    <row r="4" spans="1:5" ht="15.75" x14ac:dyDescent="0.25">
      <c r="A4" s="120" t="s">
        <v>2</v>
      </c>
      <c r="B4" s="120"/>
      <c r="C4" s="120"/>
      <c r="D4" s="120"/>
    </row>
    <row r="5" spans="1:5" ht="42.75" customHeight="1" x14ac:dyDescent="0.25">
      <c r="A5" s="121" t="s">
        <v>3</v>
      </c>
      <c r="B5" s="121"/>
      <c r="C5" s="121"/>
      <c r="D5" s="121"/>
    </row>
    <row r="7" spans="1:5" ht="27.95" customHeight="1" x14ac:dyDescent="0.25">
      <c r="A7" s="62" t="s">
        <v>4</v>
      </c>
      <c r="B7" s="63" t="s">
        <v>5</v>
      </c>
      <c r="C7" s="63" t="s">
        <v>6</v>
      </c>
      <c r="D7" s="64" t="s">
        <v>7</v>
      </c>
    </row>
    <row r="8" spans="1:5" ht="45" x14ac:dyDescent="0.25">
      <c r="A8" s="65">
        <v>1</v>
      </c>
      <c r="B8" s="66" t="s">
        <v>8</v>
      </c>
      <c r="C8" s="67" t="s">
        <v>9</v>
      </c>
      <c r="D8" s="68" t="s">
        <v>10</v>
      </c>
    </row>
    <row r="9" spans="1:5" ht="45" x14ac:dyDescent="0.25">
      <c r="A9" s="69">
        <v>2</v>
      </c>
      <c r="B9" s="70" t="s">
        <v>11</v>
      </c>
      <c r="C9" s="71" t="s">
        <v>12</v>
      </c>
      <c r="D9" s="72" t="s">
        <v>13</v>
      </c>
    </row>
    <row r="10" spans="1:5" ht="45" x14ac:dyDescent="0.25">
      <c r="A10" s="65">
        <v>3</v>
      </c>
      <c r="B10" s="66" t="s">
        <v>14</v>
      </c>
      <c r="C10" s="67" t="s">
        <v>15</v>
      </c>
      <c r="D10" s="68" t="s">
        <v>16</v>
      </c>
    </row>
    <row r="11" spans="1:5" ht="60" x14ac:dyDescent="0.25">
      <c r="A11" s="69">
        <v>4</v>
      </c>
      <c r="B11" s="70" t="s">
        <v>17</v>
      </c>
      <c r="C11" s="71" t="s">
        <v>18</v>
      </c>
      <c r="D11" s="72" t="s">
        <v>19</v>
      </c>
    </row>
    <row r="12" spans="1:5" ht="60" x14ac:dyDescent="0.25">
      <c r="A12" s="112">
        <v>5</v>
      </c>
      <c r="B12" s="113" t="s">
        <v>20</v>
      </c>
      <c r="C12" s="114" t="s">
        <v>21</v>
      </c>
      <c r="D12" s="115" t="s">
        <v>22</v>
      </c>
      <c r="E12" s="116" t="s">
        <v>23</v>
      </c>
    </row>
    <row r="13" spans="1:5" ht="60" x14ac:dyDescent="0.25">
      <c r="A13" s="112">
        <v>6</v>
      </c>
      <c r="B13" s="113" t="s">
        <v>24</v>
      </c>
      <c r="C13" s="114" t="s">
        <v>25</v>
      </c>
      <c r="D13" s="115" t="s">
        <v>26</v>
      </c>
      <c r="E13" s="116" t="s">
        <v>23</v>
      </c>
    </row>
    <row r="14" spans="1:5" ht="105" x14ac:dyDescent="0.25">
      <c r="A14" s="65">
        <v>7</v>
      </c>
      <c r="B14" s="66" t="s">
        <v>27</v>
      </c>
      <c r="C14" s="67" t="s">
        <v>28</v>
      </c>
      <c r="D14" s="68" t="s">
        <v>29</v>
      </c>
    </row>
    <row r="15" spans="1:5" ht="60" x14ac:dyDescent="0.25">
      <c r="A15" s="69">
        <v>8</v>
      </c>
      <c r="B15" s="70" t="s">
        <v>30</v>
      </c>
      <c r="C15" s="71" t="s">
        <v>31</v>
      </c>
      <c r="D15" s="72" t="s">
        <v>32</v>
      </c>
    </row>
    <row r="16" spans="1:5" ht="45" x14ac:dyDescent="0.25">
      <c r="A16" s="65">
        <v>9</v>
      </c>
      <c r="B16" s="73" t="s">
        <v>33</v>
      </c>
      <c r="C16" s="74" t="s">
        <v>34</v>
      </c>
      <c r="D16" s="75" t="s">
        <v>35</v>
      </c>
    </row>
    <row r="18" spans="1:4" ht="15.75" x14ac:dyDescent="0.25">
      <c r="A18" s="120" t="s">
        <v>36</v>
      </c>
      <c r="B18" s="120"/>
      <c r="C18" s="120"/>
      <c r="D18" s="120"/>
    </row>
    <row r="19" spans="1:4" x14ac:dyDescent="0.25">
      <c r="A19" s="117" t="s">
        <v>37</v>
      </c>
      <c r="B19" s="117"/>
      <c r="C19" s="117"/>
      <c r="D19" s="117"/>
    </row>
  </sheetData>
  <mergeCells count="6">
    <mergeCell ref="A19:D19"/>
    <mergeCell ref="A1:D1"/>
    <mergeCell ref="A2:D2"/>
    <mergeCell ref="A4:D4"/>
    <mergeCell ref="A5:D5"/>
    <mergeCell ref="A18: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F12" sqref="F12"/>
    </sheetView>
  </sheetViews>
  <sheetFormatPr defaultRowHeight="15" x14ac:dyDescent="0.25"/>
  <cols>
    <col min="1" max="1" width="28.7109375" customWidth="1"/>
    <col min="2" max="2" width="15.85546875" bestFit="1" customWidth="1"/>
    <col min="3" max="3" width="12.5703125" customWidth="1"/>
    <col min="4" max="4" width="33.28515625" bestFit="1" customWidth="1"/>
    <col min="5" max="5" width="25.140625" bestFit="1" customWidth="1"/>
  </cols>
  <sheetData>
    <row r="1" ht="21" x14ac:dyDescent="0.35">
      <c r="B1" s="42" t="inlineStr">
        <is>
          <t xml:space="preserve">Kevin Andre Lawson</t>
        </is>
      </c>
    </row>
    <row r="2" spans="1:5" x14ac:dyDescent="0.25">
      <c r="A2" s="122" t="s">
        <v>39</v>
      </c>
      <c r="B2" s="123"/>
      <c r="C2" s="124"/>
      <c r="D2" s="125" t="s">
        <v>40</v>
      </c>
      <c r="E2" s="126"/>
    </row>
    <row r="3" x14ac:dyDescent="0.25">
      <c r="A3" t="s">
        <v>41</v>
      </c>
      <c r="B3" t="inlineStr">
        <is>
          <t xml:space="preserve">2715 Palm Haven Drive, Apt 4B</t>
        </is>
      </c>
      <c r="D3" t="s">
        <v>43</v>
      </c>
      <c r="E3" s="1">
        <v>45089</v>
      </c>
    </row>
    <row r="4" x14ac:dyDescent="0.25">
      <c r="B4" t="inlineStr">
        <is>
          <t xml:space="preserve">Orlando, FL 32839</t>
        </is>
      </c>
      <c r="D4" t="s">
        <v>45</v>
      </c>
      <c r="E4">
        <v>6274910385</v>
      </c>
    </row>
    <row r="5" x14ac:dyDescent="0.25">
      <c r="B5" t="inlineStr">
        <is>
          <t xml:space="preserve">United States</t>
        </is>
      </c>
    </row>
    <row r="6" spans="1:5" x14ac:dyDescent="0.25">
      <c r="D6" s="125" t="s">
        <v>47</v>
      </c>
      <c r="E6" s="126"/>
    </row>
    <row r="7" x14ac:dyDescent="0.25">
      <c r="D7" t="s">
        <v>48</v>
      </c>
      <c r="E7" t="inlineStr">
        <is>
          <t xml:space="preserve">(407) 555-2186</t>
        </is>
      </c>
    </row>
    <row r="8" x14ac:dyDescent="0.25">
      <c r="A8" t="s">
        <v>50</v>
      </c>
      <c r="B8" t="inlineStr">
        <is>
          <t xml:space="preserve">518-36-2947</t>
        </is>
      </c>
      <c r="D8" t="s">
        <v>52</v>
      </c>
      <c r="E8" s="56" t="inlineStr">
        <is>
          <t xml:space="preserve">kevin.lawson91@email.com</t>
        </is>
      </c>
    </row>
    <row r="9" x14ac:dyDescent="0.25">
      <c r="A9" t="s">
        <v>54</v>
      </c>
      <c r="B9" s="60">
        <v>33311</v>
      </c>
    </row>
    <row r="10" x14ac:dyDescent="0.25">
      <c r="A10" t="s">
        <v>55</v>
      </c>
      <c r="B10" t="inlineStr">
        <is>
          <t xml:space="preserve">Sales Associate</t>
        </is>
      </c>
    </row>
    <row r="11" x14ac:dyDescent="0.25">
      <c r="A11" t="s">
        <v>57</v>
      </c>
      <c r="B11" t="inlineStr">
        <is>
          <t xml:space="preserve">Walmart Inc.</t>
        </is>
      </c>
    </row>
    <row r="16" spans="1:5" x14ac:dyDescent="0.25">
      <c r="A16" s="43" t="s">
        <v>11</v>
      </c>
      <c r="B16" s="44" t="s">
        <v>59</v>
      </c>
      <c r="C16" s="44" t="s">
        <v>60</v>
      </c>
      <c r="D16" s="44" t="s">
        <v>61</v>
      </c>
      <c r="E16" s="45" t="s">
        <v>62</v>
      </c>
    </row>
    <row r="17" x14ac:dyDescent="0.25">
      <c r="A17" s="40">
        <v>4721836590214</v>
      </c>
      <c r="B17" t="inlineStr">
        <is>
          <t xml:space="preserve">DDA</t>
        </is>
      </c>
      <c r="C17" t="inlineStr">
        <is>
          <t xml:space="preserve">Open</t>
        </is>
      </c>
      <c r="D17" s="1">
        <v>45089</v>
      </c>
    </row>
    <row r="18" x14ac:dyDescent="0.25">
      <c r="A18" s="40">
        <v>4721836590873</v>
      </c>
      <c r="B18" t="inlineStr">
        <is>
          <t xml:space="preserve">SAV</t>
        </is>
      </c>
      <c r="C18" t="inlineStr">
        <is>
          <t xml:space="preserve">Open</t>
        </is>
      </c>
      <c r="D18" s="1">
        <v>45327</v>
      </c>
    </row>
    <row r="20" spans="1:5" x14ac:dyDescent="0.25">
      <c r="A20" s="122" t="s">
        <v>66</v>
      </c>
      <c r="B20" s="123"/>
      <c r="C20" s="123"/>
      <c r="D20" s="123"/>
      <c r="E20" s="126"/>
    </row>
    <row r="21" x14ac:dyDescent="0.25">
      <c r="A21" t="inlineStr">
        <is>
          <t xml:space="preserve">None</t>
        </is>
      </c>
    </row>
  </sheetData>
  <mergeCells count="4">
    <mergeCell ref="A2:C2"/>
    <mergeCell ref="D2:E2"/>
    <mergeCell ref="D6:E6"/>
    <mergeCell ref="A20:E20"/>
  </mergeCells>
  <hyperlinks>
    <hyperlink ref="E8" r:id="rId1" display="kevin.lawson91@email.com" xr:uid="{C7BA6FEE-EF58-4DC8-AE38-4491EC661E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H11" sqref="H11"/>
    </sheetView>
  </sheetViews>
  <sheetFormatPr defaultRowHeight="15" x14ac:dyDescent="0.25"/>
  <cols>
    <col min="1" max="1" width="8.140625" bestFit="1" customWidth="1"/>
    <col min="2" max="2" width="12.85546875" bestFit="1" customWidth="1"/>
    <col min="3" max="3" width="16.7109375" bestFit="1" customWidth="1"/>
    <col min="4" max="4" width="24.42578125" customWidth="1"/>
    <col min="5" max="5" width="26.5703125" bestFit="1" customWidth="1"/>
    <col min="6" max="6" width="6.42578125" bestFit="1" customWidth="1"/>
    <col min="7" max="7" width="10.42578125" bestFit="1" customWidth="1"/>
    <col min="8" max="8" width="11.5703125" bestFit="1" customWidth="1"/>
  </cols>
  <sheetData>
    <row r="1" ht="21.75" thickBot="1" x14ac:dyDescent="0.4">
      <c r="C1" s="42" t="inlineStr">
        <is>
          <t xml:space="preserve">Kevin Andre Lawson</t>
        </is>
      </c>
    </row>
    <row r="2" spans="1:8" x14ac:dyDescent="0.25">
      <c r="A2" s="46" t="s">
        <v>68</v>
      </c>
      <c r="B2" s="47" t="s">
        <v>69</v>
      </c>
      <c r="C2" s="48" t="s">
        <v>70</v>
      </c>
      <c r="D2" s="46" t="s">
        <v>71</v>
      </c>
      <c r="E2" s="46" t="s">
        <v>72</v>
      </c>
      <c r="F2" s="46" t="s">
        <v>60</v>
      </c>
      <c r="G2" s="49" t="s">
        <v>61</v>
      </c>
      <c r="H2" s="49" t="s">
        <v>73</v>
      </c>
    </row>
    <row r="3" x14ac:dyDescent="0.25">
      <c r="A3" t="inlineStr">
        <is>
          <t xml:space="preserve">DDA</t>
        </is>
      </c>
      <c r="B3" t="inlineStr">
        <is>
          <t xml:space="preserve">Personal</t>
        </is>
      </c>
      <c r="C3" s="40">
        <v>4721836590214</v>
      </c>
      <c r="D3" t="inlineStr">
        <is>
          <t xml:space="preserve">Kevin Andre Lawson</t>
        </is>
      </c>
      <c r="E3">
        <v>6</v>
      </c>
      <c r="F3" t="inlineStr">
        <is>
          <t xml:space="preserve">Open</t>
        </is>
      </c>
      <c r="G3" s="1">
        <v>45089</v>
      </c>
    </row>
    <row r="4" x14ac:dyDescent="0.25">
      <c r="A4" t="inlineStr">
        <is>
          <t xml:space="preserve">SAV</t>
        </is>
      </c>
      <c r="B4" t="inlineStr">
        <is>
          <t xml:space="preserve">Personal</t>
        </is>
      </c>
      <c r="C4" s="40">
        <v>4721836590873</v>
      </c>
      <c r="D4" t="inlineStr">
        <is>
          <t xml:space="preserve">Kevin Andre Lawson</t>
        </is>
      </c>
      <c r="E4">
        <v>0</v>
      </c>
      <c r="F4" t="inlineStr">
        <is>
          <t xml:space="preserve">Open</t>
        </is>
      </c>
      <c r="G4" s="1">
        <v>45327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2"/>
  <sheetViews>
    <sheetView showGridLines="0" zoomScaleNormal="100" workbookViewId="0">
      <selection activeCell="D26" sqref="D26"/>
    </sheetView>
  </sheetViews>
  <sheetFormatPr defaultRowHeight="15" x14ac:dyDescent="0.25"/>
  <cols>
    <col min="1" max="1" width="15.140625" bestFit="1" customWidth="1"/>
    <col min="2" max="2" width="11.140625" bestFit="1" customWidth="1"/>
    <col min="3" max="3" width="16.7109375" style="40" bestFit="1" customWidth="1"/>
    <col min="4" max="4" width="17.42578125" style="41" customWidth="1"/>
    <col min="5" max="5" width="14.140625" customWidth="1"/>
    <col min="6" max="6" width="23" customWidth="1"/>
  </cols>
  <sheetData>
    <row r="1" x14ac:dyDescent="0.25">
      <c r="A1" s="50" t="s">
        <v>75</v>
      </c>
      <c r="B1" s="1">
        <v>46296</v>
      </c>
      <c r="C1" s="1"/>
    </row>
    <row r="3" spans="1:7" x14ac:dyDescent="0.25">
      <c r="A3" s="51" t="s">
        <v>76</v>
      </c>
      <c r="B3" s="52" t="s">
        <v>77</v>
      </c>
      <c r="C3" s="53" t="s">
        <v>68</v>
      </c>
      <c r="D3" s="54" t="s">
        <v>78</v>
      </c>
      <c r="E3" s="55"/>
      <c r="F3" s="55" t="s">
        <v>59</v>
      </c>
    </row>
    <row r="4">
      <c r="A4" t="inlineStr">
        <is>
          <t xml:space="preserve">Large Wire Out</t>
        </is>
      </c>
      <c r="B4" s="1">
        <v>46142</v>
      </c>
      <c r="C4" s="40">
        <v>4721836590214</v>
      </c>
      <c r="D4" s="61">
        <v>-3750.0</v>
      </c>
      <c r="E4" t="inlineStr">
        <is>
          <t xml:space="preserve">D</t>
        </is>
      </c>
      <c r="F4" t="inlineStr">
        <is>
          <t xml:space="preserve">Wire</t>
        </is>
      </c>
    </row>
    <row r="5">
      <c r="A5" t="inlineStr">
        <is>
          <t xml:space="preserve">Large Wire Out</t>
        </is>
      </c>
      <c r="B5" s="1">
        <v>46171</v>
      </c>
      <c r="C5" s="40">
        <v>4721836590214</v>
      </c>
      <c r="D5" s="61">
        <v>-3700.0</v>
      </c>
      <c r="E5" t="inlineStr">
        <is>
          <t xml:space="preserve">D</t>
        </is>
      </c>
      <c r="F5" t="inlineStr">
        <is>
          <t xml:space="preserve">Wire</t>
        </is>
      </c>
    </row>
    <row r="6">
      <c r="A6" t="inlineStr">
        <is>
          <t xml:space="preserve">Large Wire Out</t>
        </is>
      </c>
      <c r="B6" s="1">
        <v>46203</v>
      </c>
      <c r="C6" s="40">
        <v>4721836590214</v>
      </c>
      <c r="D6" s="61">
        <v>-3350.0</v>
      </c>
      <c r="E6" t="inlineStr">
        <is>
          <t xml:space="preserve">D</t>
        </is>
      </c>
      <c r="F6" t="inlineStr">
        <is>
          <t xml:space="preserve">Wire</t>
        </is>
      </c>
    </row>
    <row r="7">
      <c r="A7" t="inlineStr">
        <is>
          <t xml:space="preserve">Large Wire Out</t>
        </is>
      </c>
      <c r="B7" s="1">
        <v>46234</v>
      </c>
      <c r="C7" s="40">
        <v>4721836590214</v>
      </c>
      <c r="D7" s="61">
        <v>-3900.0</v>
      </c>
      <c r="E7" t="inlineStr">
        <is>
          <t xml:space="preserve">D</t>
        </is>
      </c>
      <c r="F7" t="inlineStr">
        <is>
          <t xml:space="preserve">Wire</t>
        </is>
      </c>
    </row>
    <row r="8">
      <c r="A8" t="inlineStr">
        <is>
          <t xml:space="preserve">Large Wire Out</t>
        </is>
      </c>
      <c r="B8" s="1">
        <v>46265</v>
      </c>
      <c r="C8" s="40">
        <v>4721836590214</v>
      </c>
      <c r="D8" s="61">
        <v>-4100.0</v>
      </c>
      <c r="E8" t="inlineStr">
        <is>
          <t xml:space="preserve">D</t>
        </is>
      </c>
      <c r="F8" t="inlineStr">
        <is>
          <t xml:space="preserve">Wire</t>
        </is>
      </c>
    </row>
    <row r="9">
      <c r="A9" t="inlineStr">
        <is>
          <t xml:space="preserve">Large Wire Out</t>
        </is>
      </c>
      <c r="B9" s="1">
        <v>46295</v>
      </c>
      <c r="C9" s="40">
        <v>4721836590214</v>
      </c>
      <c r="D9" s="61">
        <v>-3150.0</v>
      </c>
      <c r="E9" t="inlineStr">
        <is>
          <t xml:space="preserve">D</t>
        </is>
      </c>
      <c r="F9" t="inlineStr">
        <is>
          <t xml:space="preserve">Wire</t>
        </is>
      </c>
    </row>
    <row r="12">
      <c r="A12" t="inlineStr">
        <is>
          <t xml:space="preserve">• The Trigger: The case was flagged for 6 large outgoing international wire events on the DDA ending 0214, sent to a beneficiary in Panama. The savings account ending 0873 had no alerted events.</t>
        </is>
      </c>
    </row>
  </sheetData>
  <autoFilter ref="A3:F3" xr:uid="{D6DBC65F-FD17-422D-8808-CACF9877DF1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71"/>
  <sheetViews>
    <sheetView workbookViewId="0">
      <pane ySplit="1" topLeftCell="A2" activePane="bottomLeft" state="frozen"/>
      <selection pane="bottomLeft" activeCell="D22" sqref="D22"/>
    </sheetView>
  </sheetViews>
  <sheetFormatPr defaultRowHeight="15" x14ac:dyDescent="0.25"/>
  <cols>
    <col min="1" max="1" width="15.85546875" bestFit="1" customWidth="1"/>
    <col min="2" max="2" width="16.7109375" style="87" bestFit="1" customWidth="1"/>
    <col min="3" max="3" width="6.42578125" bestFit="1" customWidth="1"/>
    <col min="4" max="4" width="15" style="41" bestFit="1" customWidth="1"/>
    <col min="5" max="5" width="10.7109375" bestFit="1" customWidth="1"/>
    <col min="6" max="7" width="10.5703125" style="41" bestFit="1" customWidth="1"/>
    <col min="8" max="8" width="20.5703125" customWidth="1"/>
    <col min="9" max="9" width="6.5703125" bestFit="1" customWidth="1"/>
    <col min="10" max="10" width="9.42578125" bestFit="1" customWidth="1"/>
    <col min="11" max="11" width="29.28515625" bestFit="1" customWidth="1"/>
    <col min="12" max="12" width="22" customWidth="1"/>
    <col min="13" max="13" width="11.5703125" bestFit="1" customWidth="1"/>
    <col min="14" max="14" width="6.7109375" bestFit="1" customWidth="1"/>
    <col min="15" max="15" width="7.85546875" bestFit="1" customWidth="1"/>
    <col min="16" max="16" width="6" bestFit="1" customWidth="1"/>
    <col min="17" max="17" width="12.7109375" bestFit="1" customWidth="1"/>
    <col min="18" max="18" width="11.85546875" bestFit="1" customWidth="1"/>
    <col min="19" max="19" width="13.42578125" bestFit="1" customWidth="1"/>
    <col min="20" max="20" width="12.5703125" bestFit="1" customWidth="1"/>
    <col min="21" max="21" width="11.7109375" bestFit="1" customWidth="1"/>
    <col min="22" max="22" width="18.5703125" bestFit="1" customWidth="1"/>
    <col min="23" max="23" width="15.42578125" bestFit="1" customWidth="1"/>
    <col min="24" max="24" width="25.28515625" bestFit="1" customWidth="1"/>
    <col min="25" max="25" width="17.5703125" bestFit="1" customWidth="1"/>
    <col min="26" max="26" width="17.28515625" bestFit="1" customWidth="1"/>
    <col min="27" max="27" width="20.140625" bestFit="1" customWidth="1"/>
    <col min="28" max="28" width="18.42578125" bestFit="1" customWidth="1"/>
  </cols>
  <sheetData>
    <row r="1" spans="1:28" x14ac:dyDescent="0.25">
      <c r="A1" t="s">
        <v>83</v>
      </c>
      <c r="B1" s="87" t="s">
        <v>68</v>
      </c>
      <c r="C1" t="s">
        <v>84</v>
      </c>
      <c r="D1" s="41" t="s">
        <v>85</v>
      </c>
      <c r="E1" t="s">
        <v>77</v>
      </c>
      <c r="F1" s="41" t="s">
        <v>86</v>
      </c>
      <c r="G1" s="41" t="s">
        <v>87</v>
      </c>
      <c r="H1" t="s">
        <v>59</v>
      </c>
      <c r="I1" t="s">
        <v>88</v>
      </c>
      <c r="J1" t="s">
        <v>89</v>
      </c>
      <c r="K1" t="s">
        <v>90</v>
      </c>
      <c r="L1" t="s">
        <v>91</v>
      </c>
      <c r="M1" t="s">
        <v>92</v>
      </c>
      <c r="N1" t="s">
        <v>93</v>
      </c>
      <c r="O1" t="s">
        <v>94</v>
      </c>
      <c r="P1" t="s">
        <v>95</v>
      </c>
      <c r="Q1" t="s">
        <v>96</v>
      </c>
      <c r="R1" t="s">
        <v>97</v>
      </c>
      <c r="S1" t="s">
        <v>98</v>
      </c>
      <c r="T1" t="s">
        <v>99</v>
      </c>
      <c r="U1" t="s">
        <v>100</v>
      </c>
      <c r="V1" t="s">
        <v>101</v>
      </c>
      <c r="W1" t="s">
        <v>102</v>
      </c>
      <c r="X1" t="s">
        <v>103</v>
      </c>
      <c r="Y1" t="s">
        <v>104</v>
      </c>
      <c r="Z1" t="s">
        <v>105</v>
      </c>
      <c r="AA1" t="s">
        <v>106</v>
      </c>
      <c r="AB1" t="s">
        <v>107</v>
      </c>
    </row>
    <row r="2">
      <c r="A2" t="inlineStr">
        <is>
          <t xml:space="preserve">Kevin Andre Lawson</t>
        </is>
      </c>
      <c r="B2" s="40">
        <v>4721836590214</v>
      </c>
      <c r="C2" t="inlineStr">
        <is>
          <t xml:space="preserve">P</t>
        </is>
      </c>
      <c r="D2" s="78">
        <v>600.0</v>
      </c>
      <c r="E2" s="1">
        <v>46113</v>
      </c>
      <c r="F2" s="82">
        <v>0</v>
      </c>
      <c r="G2" s="82">
        <v>650.0</v>
      </c>
      <c r="H2" t="inlineStr">
        <is>
          <t xml:space="preserve">ACH</t>
        </is>
      </c>
      <c r="I2" t="inlineStr">
        <is>
          <t xml:space="preserve">D</t>
        </is>
      </c>
      <c r="J2" t="inlineStr">
        <is>
          <t xml:space="preserve">Untagged</t>
        </is>
      </c>
      <c r="K2" t="inlineStr">
        <is>
          <t xml:space="preserve">Monthly rent</t>
        </is>
      </c>
      <c r="N2" t="inlineStr">
        <is>
          <t xml:space="preserve">Orlando</t>
        </is>
      </c>
      <c r="O2" t="inlineStr">
        <is>
          <t xml:space="preserve">FL</t>
        </is>
      </c>
      <c r="P2">
        <v>32839</v>
      </c>
      <c r="U2" s="1">
        <v>46113</v>
      </c>
      <c r="V2" t="inlineStr">
        <is>
          <t xml:space="preserve">Kevin Andre Lawson</t>
        </is>
      </c>
      <c r="W2" t="inlineStr">
        <is>
          <t xml:space="preserve">Bank of America</t>
        </is>
      </c>
      <c r="X2" s="77" t="inlineStr">
        <is>
          <t xml:space="preserve">4721836590214</t>
        </is>
      </c>
      <c r="Y2" t="inlineStr">
        <is>
          <t xml:space="preserve">Palm Haven Apartments</t>
        </is>
      </c>
      <c r="Z2" t="inlineStr">
        <is>
          <t xml:space="preserve">Truist</t>
        </is>
      </c>
      <c r="AA2" s="77" t="inlineStr">
        <is>
          <t xml:space="preserve">RENT-2715-4B</t>
        </is>
      </c>
    </row>
    <row r="3">
      <c r="A3" t="inlineStr">
        <is>
          <t xml:space="preserve">Kevin Andre Lawson</t>
        </is>
      </c>
      <c r="B3" s="40">
        <v>4721836590214</v>
      </c>
      <c r="C3" t="inlineStr">
        <is>
          <t xml:space="preserve">P</t>
        </is>
      </c>
      <c r="D3" s="78">
        <f>D2+F3-G3</f>
      </c>
      <c r="E3" s="1">
        <v>46115</v>
      </c>
      <c r="F3" s="82">
        <v>386.48</v>
      </c>
      <c r="G3" s="82">
        <v>0</v>
      </c>
      <c r="H3" t="inlineStr">
        <is>
          <t xml:space="preserve">ACH</t>
        </is>
      </c>
      <c r="I3" t="inlineStr">
        <is>
          <t xml:space="preserve">C</t>
        </is>
      </c>
      <c r="J3" t="inlineStr">
        <is>
          <t xml:space="preserve">Untagged</t>
        </is>
      </c>
      <c r="K3" t="inlineStr">
        <is>
          <t xml:space="preserve">Payroll deposit</t>
        </is>
      </c>
      <c r="U3" s="1">
        <v>46115</v>
      </c>
      <c r="V3" t="inlineStr">
        <is>
          <t xml:space="preserve">Walmart Inc.</t>
        </is>
      </c>
      <c r="W3" t="inlineStr">
        <is>
          <t xml:space="preserve">JPMorgan Chase</t>
        </is>
      </c>
      <c r="X3" s="77" t="inlineStr">
        <is>
          <t xml:space="preserve">PAYROLL-WMT-0403</t>
        </is>
      </c>
      <c r="Y3" t="inlineStr">
        <is>
          <t xml:space="preserve">Kevin Andre Lawson</t>
        </is>
      </c>
      <c r="Z3" t="inlineStr">
        <is>
          <t xml:space="preserve">Bank of America</t>
        </is>
      </c>
      <c r="AA3" s="77" t="inlineStr">
        <is>
          <t xml:space="preserve">4721836590214</t>
        </is>
      </c>
    </row>
    <row r="4">
      <c r="A4" t="inlineStr">
        <is>
          <t xml:space="preserve">Kevin Andre Lawson</t>
        </is>
      </c>
      <c r="B4" s="40">
        <v>4721836590214</v>
      </c>
      <c r="C4" t="inlineStr">
        <is>
          <t xml:space="preserve">P</t>
        </is>
      </c>
      <c r="D4" s="78">
        <f>D3+F4-G4</f>
      </c>
      <c r="E4" s="1">
        <v>46116</v>
      </c>
      <c r="F4" s="82">
        <v>480.0</v>
      </c>
      <c r="G4" s="82">
        <v>0</v>
      </c>
      <c r="H4" t="inlineStr">
        <is>
          <t xml:space="preserve">P2P</t>
        </is>
      </c>
      <c r="I4" t="inlineStr">
        <is>
          <t xml:space="preserve">C</t>
        </is>
      </c>
      <c r="J4" t="inlineStr">
        <is>
          <t xml:space="preserve">Untagged</t>
        </is>
      </c>
      <c r="K4" t="inlineStr">
        <is>
          <t xml:space="preserve">Zelle received</t>
        </is>
      </c>
      <c r="T4" s="81">
        <v>0.4</v>
      </c>
      <c r="U4" s="1">
        <v>46116</v>
      </c>
      <c r="V4" t="inlineStr">
        <is>
          <t xml:space="preserve">Alyssa Grant</t>
        </is>
      </c>
      <c r="W4" t="inlineStr">
        <is>
          <t xml:space="preserve">Citibank</t>
        </is>
      </c>
      <c r="X4" s="77" t="inlineStr">
        <is>
          <t xml:space="preserve">ZELLE-S-1135</t>
        </is>
      </c>
      <c r="Y4" t="inlineStr">
        <is>
          <t xml:space="preserve">Kevin Andre Lawson</t>
        </is>
      </c>
      <c r="Z4" t="inlineStr">
        <is>
          <t xml:space="preserve">Bank of America</t>
        </is>
      </c>
      <c r="AA4" s="77" t="inlineStr">
        <is>
          <t xml:space="preserve">4721836590214</t>
        </is>
      </c>
    </row>
    <row r="5">
      <c r="A5" t="inlineStr">
        <is>
          <t xml:space="preserve">Kevin Andre Lawson</t>
        </is>
      </c>
      <c r="B5" s="40">
        <v>4721836590214</v>
      </c>
      <c r="C5" t="inlineStr">
        <is>
          <t xml:space="preserve">P</t>
        </is>
      </c>
      <c r="D5" s="78">
        <f>D4+F5-G5</f>
      </c>
      <c r="E5" s="1">
        <v>46118</v>
      </c>
      <c r="F5" s="82">
        <v>375.0</v>
      </c>
      <c r="G5" s="82">
        <v>0</v>
      </c>
      <c r="H5" t="inlineStr">
        <is>
          <t xml:space="preserve">P2P</t>
        </is>
      </c>
      <c r="I5" t="inlineStr">
        <is>
          <t xml:space="preserve">C</t>
        </is>
      </c>
      <c r="J5" t="inlineStr">
        <is>
          <t xml:space="preserve">Untagged</t>
        </is>
      </c>
      <c r="K5" t="inlineStr">
        <is>
          <t xml:space="preserve">Zelle received</t>
        </is>
      </c>
      <c r="T5" s="81">
        <v>0.7736111111111111</v>
      </c>
      <c r="U5" s="1">
        <v>46118</v>
      </c>
      <c r="V5" t="inlineStr">
        <is>
          <t xml:space="preserve">Nicole Ferguson</t>
        </is>
      </c>
      <c r="W5" t="inlineStr">
        <is>
          <t xml:space="preserve">Regions Bank</t>
        </is>
      </c>
      <c r="X5" s="77" t="inlineStr">
        <is>
          <t xml:space="preserve">ZELLE-S-1113</t>
        </is>
      </c>
      <c r="Y5" t="inlineStr">
        <is>
          <t xml:space="preserve">Kevin Andre Lawson</t>
        </is>
      </c>
      <c r="Z5" t="inlineStr">
        <is>
          <t xml:space="preserve">Bank of America</t>
        </is>
      </c>
      <c r="AA5" s="77" t="inlineStr">
        <is>
          <t xml:space="preserve">4721836590214</t>
        </is>
      </c>
      <c r="AB5" t="inlineStr">
        <is>
          <t xml:space="preserve">Money</t>
        </is>
      </c>
    </row>
    <row r="6">
      <c r="A6" t="inlineStr">
        <is>
          <t xml:space="preserve">Kevin Andre Lawson</t>
        </is>
      </c>
      <c r="B6" s="40">
        <v>4721836590214</v>
      </c>
      <c r="C6" t="inlineStr">
        <is>
          <t xml:space="preserve">P</t>
        </is>
      </c>
      <c r="D6" s="78">
        <f>D5+F6-G6</f>
      </c>
      <c r="E6" s="1">
        <v>46118</v>
      </c>
      <c r="F6" s="82">
        <v>0</v>
      </c>
      <c r="G6" s="82">
        <v>36.59</v>
      </c>
      <c r="H6" t="inlineStr">
        <is>
          <t xml:space="preserve">Debit Card</t>
        </is>
      </c>
      <c r="I6" t="inlineStr">
        <is>
          <t xml:space="preserve">D</t>
        </is>
      </c>
      <c r="J6" t="inlineStr">
        <is>
          <t xml:space="preserve">Untagged</t>
        </is>
      </c>
      <c r="K6" t="inlineStr">
        <is>
          <t xml:space="preserve">Shell fuel</t>
        </is>
      </c>
      <c r="L6" t="inlineStr">
        <is>
          <t xml:space="preserve">4128 5530 9187 2264</t>
        </is>
      </c>
      <c r="N6" t="inlineStr">
        <is>
          <t xml:space="preserve">Orlando</t>
        </is>
      </c>
      <c r="O6" t="inlineStr">
        <is>
          <t xml:space="preserve">FL</t>
        </is>
      </c>
      <c r="P6">
        <v>32839</v>
      </c>
      <c r="S6" t="inlineStr">
        <is>
          <t xml:space="preserve">POS-ORL-2140</t>
        </is>
      </c>
      <c r="T6" s="81">
        <v>0.49722222222222223</v>
      </c>
      <c r="U6" s="1">
        <v>46119</v>
      </c>
      <c r="V6" t="inlineStr">
        <is>
          <t xml:space="preserve">Kevin Andre Lawson</t>
        </is>
      </c>
      <c r="W6" t="inlineStr">
        <is>
          <t xml:space="preserve">Bank of America</t>
        </is>
      </c>
      <c r="X6" s="77" t="inlineStr">
        <is>
          <t xml:space="preserve">4721836590214</t>
        </is>
      </c>
      <c r="Y6" t="inlineStr">
        <is>
          <t xml:space="preserve">Shell</t>
        </is>
      </c>
    </row>
    <row r="7">
      <c r="A7" t="inlineStr">
        <is>
          <t xml:space="preserve">Kevin Andre Lawson</t>
        </is>
      </c>
      <c r="B7" s="40">
        <v>4721836590214</v>
      </c>
      <c r="C7" t="inlineStr">
        <is>
          <t xml:space="preserve">P</t>
        </is>
      </c>
      <c r="D7" s="78">
        <f>D6+F7-G7</f>
      </c>
      <c r="E7" s="1">
        <v>46119</v>
      </c>
      <c r="F7" s="82">
        <v>375.0</v>
      </c>
      <c r="G7" s="82">
        <v>0</v>
      </c>
      <c r="H7" t="inlineStr">
        <is>
          <t xml:space="preserve">P2P</t>
        </is>
      </c>
      <c r="I7" t="inlineStr">
        <is>
          <t xml:space="preserve">C</t>
        </is>
      </c>
      <c r="J7" t="inlineStr">
        <is>
          <t xml:space="preserve">Untagged</t>
        </is>
      </c>
      <c r="K7" t="inlineStr">
        <is>
          <t xml:space="preserve">Zelle received</t>
        </is>
      </c>
      <c r="T7" s="81">
        <v>0.7493055555555556</v>
      </c>
      <c r="U7" s="1">
        <v>46119</v>
      </c>
      <c r="V7" t="inlineStr">
        <is>
          <t xml:space="preserve">Andre Coleman</t>
        </is>
      </c>
      <c r="W7" t="inlineStr">
        <is>
          <t xml:space="preserve">Truist</t>
        </is>
      </c>
      <c r="X7" s="77" t="inlineStr">
        <is>
          <t xml:space="preserve">ZELLE-S-1120</t>
        </is>
      </c>
      <c r="Y7" t="inlineStr">
        <is>
          <t xml:space="preserve">Kevin Andre Lawson</t>
        </is>
      </c>
      <c r="Z7" t="inlineStr">
        <is>
          <t xml:space="preserve">Bank of America</t>
        </is>
      </c>
      <c r="AA7" s="77" t="inlineStr">
        <is>
          <t xml:space="preserve">4721836590214</t>
        </is>
      </c>
      <c r="AB7" t="inlineStr">
        <is>
          <t xml:space="preserve">Sent</t>
        </is>
      </c>
    </row>
    <row r="8">
      <c r="A8" t="inlineStr">
        <is>
          <t xml:space="preserve">Kevin Andre Lawson</t>
        </is>
      </c>
      <c r="B8" s="40">
        <v>4721836590214</v>
      </c>
      <c r="C8" t="inlineStr">
        <is>
          <t xml:space="preserve">P</t>
        </is>
      </c>
      <c r="D8" s="78">
        <f>D7+F8-G8</f>
      </c>
      <c r="E8" s="1">
        <v>46121</v>
      </c>
      <c r="F8" s="82">
        <v>0</v>
      </c>
      <c r="G8" s="82">
        <v>89.32</v>
      </c>
      <c r="H8" t="inlineStr">
        <is>
          <t xml:space="preserve">Debit Card</t>
        </is>
      </c>
      <c r="I8" t="inlineStr">
        <is>
          <t xml:space="preserve">D</t>
        </is>
      </c>
      <c r="J8" t="inlineStr">
        <is>
          <t xml:space="preserve">Untagged</t>
        </is>
      </c>
      <c r="K8" t="inlineStr">
        <is>
          <t xml:space="preserve">Aldi</t>
        </is>
      </c>
      <c r="L8" t="inlineStr">
        <is>
          <t xml:space="preserve">4128 5530 9187 2264</t>
        </is>
      </c>
      <c r="N8" t="inlineStr">
        <is>
          <t xml:space="preserve">Orlando</t>
        </is>
      </c>
      <c r="O8" t="inlineStr">
        <is>
          <t xml:space="preserve">FL</t>
        </is>
      </c>
      <c r="P8">
        <v>32839</v>
      </c>
      <c r="S8" t="inlineStr">
        <is>
          <t xml:space="preserve">POS-ORL-1558</t>
        </is>
      </c>
      <c r="T8" s="81">
        <v>0.5368055555555555</v>
      </c>
      <c r="U8" s="1">
        <v>46122</v>
      </c>
      <c r="V8" t="inlineStr">
        <is>
          <t xml:space="preserve">Kevin Andre Lawson</t>
        </is>
      </c>
      <c r="W8" t="inlineStr">
        <is>
          <t xml:space="preserve">Bank of America</t>
        </is>
      </c>
      <c r="X8" s="77" t="inlineStr">
        <is>
          <t xml:space="preserve">4721836590214</t>
        </is>
      </c>
      <c r="Y8" t="inlineStr">
        <is>
          <t xml:space="preserve">Aldi</t>
        </is>
      </c>
    </row>
    <row r="9">
      <c r="A9" t="inlineStr">
        <is>
          <t xml:space="preserve">Kevin Andre Lawson</t>
        </is>
      </c>
      <c r="B9" s="40">
        <v>4721836590214</v>
      </c>
      <c r="C9" t="inlineStr">
        <is>
          <t xml:space="preserve">P</t>
        </is>
      </c>
      <c r="D9" s="78">
        <f>D8+F9-G9</f>
      </c>
      <c r="E9" s="1">
        <v>46122</v>
      </c>
      <c r="F9" s="82">
        <v>383.02</v>
      </c>
      <c r="G9" s="82">
        <v>0</v>
      </c>
      <c r="H9" t="inlineStr">
        <is>
          <t xml:space="preserve">ACH</t>
        </is>
      </c>
      <c r="I9" t="inlineStr">
        <is>
          <t xml:space="preserve">C</t>
        </is>
      </c>
      <c r="J9" t="inlineStr">
        <is>
          <t xml:space="preserve">Untagged</t>
        </is>
      </c>
      <c r="K9" t="inlineStr">
        <is>
          <t xml:space="preserve">Payroll deposit</t>
        </is>
      </c>
      <c r="U9" s="1">
        <v>46122</v>
      </c>
      <c r="V9" t="inlineStr">
        <is>
          <t xml:space="preserve">Walmart Inc.</t>
        </is>
      </c>
      <c r="W9" t="inlineStr">
        <is>
          <t xml:space="preserve">JPMorgan Chase</t>
        </is>
      </c>
      <c r="X9" s="77" t="inlineStr">
        <is>
          <t xml:space="preserve">PAYROLL-WMT-0410</t>
        </is>
      </c>
      <c r="Y9" t="inlineStr">
        <is>
          <t xml:space="preserve">Kevin Andre Lawson</t>
        </is>
      </c>
      <c r="Z9" t="inlineStr">
        <is>
          <t xml:space="preserve">Bank of America</t>
        </is>
      </c>
      <c r="AA9" s="77" t="inlineStr">
        <is>
          <t xml:space="preserve">4721836590214</t>
        </is>
      </c>
    </row>
    <row r="10">
      <c r="A10" t="inlineStr">
        <is>
          <t xml:space="preserve">Kevin Andre Lawson</t>
        </is>
      </c>
      <c r="B10" s="40">
        <v>4721836590214</v>
      </c>
      <c r="C10" t="inlineStr">
        <is>
          <t xml:space="preserve">P</t>
        </is>
      </c>
      <c r="D10" s="78">
        <f>D9+F10-G10</f>
      </c>
      <c r="E10" s="1">
        <v>46122</v>
      </c>
      <c r="F10" s="82">
        <v>0</v>
      </c>
      <c r="G10" s="82">
        <v>64.08</v>
      </c>
      <c r="H10" t="inlineStr">
        <is>
          <t xml:space="preserve">Debit Card</t>
        </is>
      </c>
      <c r="I10" t="inlineStr">
        <is>
          <t xml:space="preserve">D</t>
        </is>
      </c>
      <c r="J10" t="inlineStr">
        <is>
          <t xml:space="preserve">Untagged</t>
        </is>
      </c>
      <c r="K10" t="inlineStr">
        <is>
          <t xml:space="preserve">Publix Super Market</t>
        </is>
      </c>
      <c r="L10" t="inlineStr">
        <is>
          <t xml:space="preserve">4128 5530 9187 2264</t>
        </is>
      </c>
      <c r="N10" t="inlineStr">
        <is>
          <t xml:space="preserve">Orlando</t>
        </is>
      </c>
      <c r="O10" t="inlineStr">
        <is>
          <t xml:space="preserve">FL</t>
        </is>
      </c>
      <c r="P10">
        <v>32839</v>
      </c>
      <c r="S10" t="inlineStr">
        <is>
          <t xml:space="preserve">POS-ORL-1423</t>
        </is>
      </c>
      <c r="T10" s="81">
        <v>0.6444444444444445</v>
      </c>
      <c r="U10" s="1">
        <v>46123</v>
      </c>
      <c r="V10" t="inlineStr">
        <is>
          <t xml:space="preserve">Kevin Andre Lawson</t>
        </is>
      </c>
      <c r="W10" t="inlineStr">
        <is>
          <t xml:space="preserve">Bank of America</t>
        </is>
      </c>
      <c r="X10" s="77" t="inlineStr">
        <is>
          <t xml:space="preserve">4721836590214</t>
        </is>
      </c>
      <c r="Y10" t="inlineStr">
        <is>
          <t xml:space="preserve">Publix Super Market</t>
        </is>
      </c>
    </row>
    <row r="11">
      <c r="A11" t="inlineStr">
        <is>
          <t xml:space="preserve">Kevin Andre Lawson</t>
        </is>
      </c>
      <c r="B11" s="40">
        <v>4721836590214</v>
      </c>
      <c r="C11" t="inlineStr">
        <is>
          <t xml:space="preserve">P</t>
        </is>
      </c>
      <c r="D11" s="78">
        <f>D10+F11-G11</f>
      </c>
      <c r="E11" s="1">
        <v>46124</v>
      </c>
      <c r="F11" s="82">
        <v>300.0</v>
      </c>
      <c r="G11" s="82">
        <v>0</v>
      </c>
      <c r="H11" t="inlineStr">
        <is>
          <t xml:space="preserve">P2P</t>
        </is>
      </c>
      <c r="I11" t="inlineStr">
        <is>
          <t xml:space="preserve">C</t>
        </is>
      </c>
      <c r="J11" t="inlineStr">
        <is>
          <t xml:space="preserve">Untagged</t>
        </is>
      </c>
      <c r="K11" t="inlineStr">
        <is>
          <t xml:space="preserve">Zelle received</t>
        </is>
      </c>
      <c r="T11" s="81">
        <v>0.4930555555555556</v>
      </c>
      <c r="U11" s="1">
        <v>46124</v>
      </c>
      <c r="V11" t="inlineStr">
        <is>
          <t xml:space="preserve">Hannah Pierce</t>
        </is>
      </c>
      <c r="W11" t="inlineStr">
        <is>
          <t xml:space="preserve">Capital One</t>
        </is>
      </c>
      <c r="X11" s="77" t="inlineStr">
        <is>
          <t xml:space="preserve">ZELLE-S-1123</t>
        </is>
      </c>
      <c r="Y11" t="inlineStr">
        <is>
          <t xml:space="preserve">Kevin Andre Lawson</t>
        </is>
      </c>
      <c r="Z11" t="inlineStr">
        <is>
          <t xml:space="preserve">Bank of America</t>
        </is>
      </c>
      <c r="AA11" s="77" t="inlineStr">
        <is>
          <t xml:space="preserve">4721836590214</t>
        </is>
      </c>
    </row>
    <row r="12">
      <c r="A12" t="inlineStr">
        <is>
          <t xml:space="preserve">Kevin Andre Lawson</t>
        </is>
      </c>
      <c r="B12" s="40">
        <v>4721836590214</v>
      </c>
      <c r="C12" t="inlineStr">
        <is>
          <t xml:space="preserve">P</t>
        </is>
      </c>
      <c r="D12" s="78">
        <f>D11+F12-G12</f>
      </c>
      <c r="E12" s="1">
        <v>46124</v>
      </c>
      <c r="F12" s="82">
        <v>0</v>
      </c>
      <c r="G12" s="82">
        <v>110.36</v>
      </c>
      <c r="H12" t="inlineStr">
        <is>
          <t xml:space="preserve">ACH</t>
        </is>
      </c>
      <c r="I12" t="inlineStr">
        <is>
          <t xml:space="preserve">D</t>
        </is>
      </c>
      <c r="J12" t="inlineStr">
        <is>
          <t xml:space="preserve">Untagged</t>
        </is>
      </c>
      <c r="K12" t="inlineStr">
        <is>
          <t xml:space="preserve">Electric &amp; water utility</t>
        </is>
      </c>
      <c r="N12" t="inlineStr">
        <is>
          <t xml:space="preserve">Orlando</t>
        </is>
      </c>
      <c r="O12" t="inlineStr">
        <is>
          <t xml:space="preserve">FL</t>
        </is>
      </c>
      <c r="P12">
        <v>32839</v>
      </c>
      <c r="U12" s="1">
        <v>46124</v>
      </c>
      <c r="V12" t="inlineStr">
        <is>
          <t xml:space="preserve">Kevin Andre Lawson</t>
        </is>
      </c>
      <c r="W12" t="inlineStr">
        <is>
          <t xml:space="preserve">Bank of America</t>
        </is>
      </c>
      <c r="X12" s="77" t="inlineStr">
        <is>
          <t xml:space="preserve">4721836590214</t>
        </is>
      </c>
      <c r="Y12" t="inlineStr">
        <is>
          <t xml:space="preserve">Orlando Utilities Commission</t>
        </is>
      </c>
      <c r="Z12" t="inlineStr">
        <is>
          <t xml:space="preserve">Wells Fargo</t>
        </is>
      </c>
      <c r="AA12" s="77" t="inlineStr">
        <is>
          <t xml:space="preserve">UTIL-OUC</t>
        </is>
      </c>
    </row>
    <row r="13">
      <c r="A13" t="inlineStr">
        <is>
          <t xml:space="preserve">Kevin Andre Lawson</t>
        </is>
      </c>
      <c r="B13" s="40">
        <v>4721836590214</v>
      </c>
      <c r="C13" t="inlineStr">
        <is>
          <t xml:space="preserve">P</t>
        </is>
      </c>
      <c r="D13" s="78">
        <f>D12+F13-G13</f>
      </c>
      <c r="E13" s="1">
        <v>46129</v>
      </c>
      <c r="F13" s="82">
        <v>393.02</v>
      </c>
      <c r="G13" s="82">
        <v>0</v>
      </c>
      <c r="H13" t="inlineStr">
        <is>
          <t xml:space="preserve">ACH</t>
        </is>
      </c>
      <c r="I13" t="inlineStr">
        <is>
          <t xml:space="preserve">C</t>
        </is>
      </c>
      <c r="J13" t="inlineStr">
        <is>
          <t xml:space="preserve">Untagged</t>
        </is>
      </c>
      <c r="K13" t="inlineStr">
        <is>
          <t xml:space="preserve">Payroll deposit</t>
        </is>
      </c>
      <c r="U13" s="1">
        <v>46129</v>
      </c>
      <c r="V13" t="inlineStr">
        <is>
          <t xml:space="preserve">Walmart Inc.</t>
        </is>
      </c>
      <c r="W13" t="inlineStr">
        <is>
          <t xml:space="preserve">JPMorgan Chase</t>
        </is>
      </c>
      <c r="X13" s="77" t="inlineStr">
        <is>
          <t xml:space="preserve">PAYROLL-WMT-0417</t>
        </is>
      </c>
      <c r="Y13" t="inlineStr">
        <is>
          <t xml:space="preserve">Kevin Andre Lawson</t>
        </is>
      </c>
      <c r="Z13" t="inlineStr">
        <is>
          <t xml:space="preserve">Bank of America</t>
        </is>
      </c>
      <c r="AA13" s="77" t="inlineStr">
        <is>
          <t xml:space="preserve">4721836590214</t>
        </is>
      </c>
    </row>
    <row r="14">
      <c r="A14" t="inlineStr">
        <is>
          <t xml:space="preserve">Kevin Andre Lawson</t>
        </is>
      </c>
      <c r="B14" s="40">
        <v>4721836590214</v>
      </c>
      <c r="C14" t="inlineStr">
        <is>
          <t xml:space="preserve">P</t>
        </is>
      </c>
      <c r="D14" s="78">
        <f>D13+F14-G14</f>
      </c>
      <c r="E14" s="1">
        <v>46130</v>
      </c>
      <c r="F14" s="82">
        <v>225.0</v>
      </c>
      <c r="G14" s="82">
        <v>0</v>
      </c>
      <c r="H14" t="inlineStr">
        <is>
          <t xml:space="preserve">P2P</t>
        </is>
      </c>
      <c r="I14" t="inlineStr">
        <is>
          <t xml:space="preserve">C</t>
        </is>
      </c>
      <c r="J14" t="inlineStr">
        <is>
          <t xml:space="preserve">Untagged</t>
        </is>
      </c>
      <c r="K14" t="inlineStr">
        <is>
          <t xml:space="preserve">Zelle received</t>
        </is>
      </c>
      <c r="T14" s="81">
        <v>0.7215277777777778</v>
      </c>
      <c r="U14" s="1">
        <v>46130</v>
      </c>
      <c r="V14" t="inlineStr">
        <is>
          <t xml:space="preserve">Sofia Delgado</t>
        </is>
      </c>
      <c r="W14" t="inlineStr">
        <is>
          <t xml:space="preserve">TD Bank</t>
        </is>
      </c>
      <c r="X14" s="77" t="inlineStr">
        <is>
          <t xml:space="preserve">ZELLE-S-1115</t>
        </is>
      </c>
      <c r="Y14" t="inlineStr">
        <is>
          <t xml:space="preserve">Kevin Andre Lawson</t>
        </is>
      </c>
      <c r="Z14" t="inlineStr">
        <is>
          <t xml:space="preserve">Bank of America</t>
        </is>
      </c>
      <c r="AA14" s="77" t="inlineStr">
        <is>
          <t xml:space="preserve">4721836590214</t>
        </is>
      </c>
    </row>
    <row r="15">
      <c r="A15" t="inlineStr">
        <is>
          <t xml:space="preserve">Kevin Andre Lawson</t>
        </is>
      </c>
      <c r="B15" s="40">
        <v>4721836590214</v>
      </c>
      <c r="C15" t="inlineStr">
        <is>
          <t xml:space="preserve">P</t>
        </is>
      </c>
      <c r="D15" s="78">
        <f>D14+F15-G15</f>
      </c>
      <c r="E15" s="1">
        <v>46130</v>
      </c>
      <c r="F15" s="82">
        <v>0</v>
      </c>
      <c r="G15" s="82">
        <v>55.0</v>
      </c>
      <c r="H15" t="inlineStr">
        <is>
          <t xml:space="preserve">ACH</t>
        </is>
      </c>
      <c r="I15" t="inlineStr">
        <is>
          <t xml:space="preserve">D</t>
        </is>
      </c>
      <c r="J15" t="inlineStr">
        <is>
          <t xml:space="preserve">Untagged</t>
        </is>
      </c>
      <c r="K15" t="inlineStr">
        <is>
          <t xml:space="preserve">Mobile phone bill</t>
        </is>
      </c>
      <c r="N15" t="inlineStr">
        <is>
          <t xml:space="preserve">Orlando</t>
        </is>
      </c>
      <c r="O15" t="inlineStr">
        <is>
          <t xml:space="preserve">FL</t>
        </is>
      </c>
      <c r="P15">
        <v>32839</v>
      </c>
      <c r="U15" s="1">
        <v>46130</v>
      </c>
      <c r="V15" t="inlineStr">
        <is>
          <t xml:space="preserve">Kevin Andre Lawson</t>
        </is>
      </c>
      <c r="W15" t="inlineStr">
        <is>
          <t xml:space="preserve">Bank of America</t>
        </is>
      </c>
      <c r="X15" s="77" t="inlineStr">
        <is>
          <t xml:space="preserve">4721836590214</t>
        </is>
      </c>
      <c r="Y15" t="inlineStr">
        <is>
          <t xml:space="preserve">T-Mobile</t>
        </is>
      </c>
      <c r="Z15" t="inlineStr">
        <is>
          <t xml:space="preserve">Citibank</t>
        </is>
      </c>
      <c r="AA15" s="77" t="inlineStr">
        <is>
          <t xml:space="preserve">UTIL-TMO</t>
        </is>
      </c>
    </row>
    <row r="16">
      <c r="A16" t="inlineStr">
        <is>
          <t xml:space="preserve">Kevin Andre Lawson</t>
        </is>
      </c>
      <c r="B16" s="40">
        <v>4721836590214</v>
      </c>
      <c r="C16" t="inlineStr">
        <is>
          <t xml:space="preserve">P</t>
        </is>
      </c>
      <c r="D16" s="78">
        <f>D15+F16-G16</f>
      </c>
      <c r="E16" s="1">
        <v>46130</v>
      </c>
      <c r="F16" s="82">
        <v>0</v>
      </c>
      <c r="G16" s="82">
        <v>77.57</v>
      </c>
      <c r="H16" t="inlineStr">
        <is>
          <t xml:space="preserve">Debit Card</t>
        </is>
      </c>
      <c r="I16" t="inlineStr">
        <is>
          <t xml:space="preserve">D</t>
        </is>
      </c>
      <c r="J16" t="inlineStr">
        <is>
          <t xml:space="preserve">Untagged</t>
        </is>
      </c>
      <c r="K16" t="inlineStr">
        <is>
          <t xml:space="preserve">Publix Super Market</t>
        </is>
      </c>
      <c r="L16" t="inlineStr">
        <is>
          <t xml:space="preserve">4128 5530 9187 2264</t>
        </is>
      </c>
      <c r="N16" t="inlineStr">
        <is>
          <t xml:space="preserve">Orlando</t>
        </is>
      </c>
      <c r="O16" t="inlineStr">
        <is>
          <t xml:space="preserve">FL</t>
        </is>
      </c>
      <c r="P16">
        <v>32839</v>
      </c>
      <c r="S16" t="inlineStr">
        <is>
          <t xml:space="preserve">POS-ORL-1317</t>
        </is>
      </c>
      <c r="T16" s="81">
        <v>0.6277777777777778</v>
      </c>
      <c r="U16" s="1">
        <v>46131</v>
      </c>
      <c r="V16" t="inlineStr">
        <is>
          <t xml:space="preserve">Kevin Andre Lawson</t>
        </is>
      </c>
      <c r="W16" t="inlineStr">
        <is>
          <t xml:space="preserve">Bank of America</t>
        </is>
      </c>
      <c r="X16" s="77" t="inlineStr">
        <is>
          <t xml:space="preserve">4721836590214</t>
        </is>
      </c>
      <c r="Y16" t="inlineStr">
        <is>
          <t xml:space="preserve">Publix Super Market</t>
        </is>
      </c>
    </row>
    <row r="17">
      <c r="A17" t="inlineStr">
        <is>
          <t xml:space="preserve">Kevin Andre Lawson</t>
        </is>
      </c>
      <c r="B17" s="40">
        <v>4721836590214</v>
      </c>
      <c r="C17" t="inlineStr">
        <is>
          <t xml:space="preserve">P</t>
        </is>
      </c>
      <c r="D17" s="78">
        <f>D16+F17-G17</f>
      </c>
      <c r="E17" s="1">
        <v>46131</v>
      </c>
      <c r="F17" s="82">
        <v>320.0</v>
      </c>
      <c r="G17" s="82">
        <v>0</v>
      </c>
      <c r="H17" t="inlineStr">
        <is>
          <t xml:space="preserve">P2P</t>
        </is>
      </c>
      <c r="I17" t="inlineStr">
        <is>
          <t xml:space="preserve">C</t>
        </is>
      </c>
      <c r="J17" t="inlineStr">
        <is>
          <t xml:space="preserve">Untagged</t>
        </is>
      </c>
      <c r="K17" t="inlineStr">
        <is>
          <t xml:space="preserve">Zelle received</t>
        </is>
      </c>
      <c r="T17" s="81">
        <v>0.8111111111111111</v>
      </c>
      <c r="U17" s="1">
        <v>46131</v>
      </c>
      <c r="V17" t="inlineStr">
        <is>
          <t xml:space="preserve">Rachel Kim</t>
        </is>
      </c>
      <c r="W17" t="inlineStr">
        <is>
          <t xml:space="preserve">Regions Bank</t>
        </is>
      </c>
      <c r="X17" s="77" t="inlineStr">
        <is>
          <t xml:space="preserve">ZELLE-S-1131</t>
        </is>
      </c>
      <c r="Y17" t="inlineStr">
        <is>
          <t xml:space="preserve">Kevin Andre Lawson</t>
        </is>
      </c>
      <c r="Z17" t="inlineStr">
        <is>
          <t xml:space="preserve">Bank of America</t>
        </is>
      </c>
      <c r="AA17" s="77" t="inlineStr">
        <is>
          <t xml:space="preserve">4721836590214</t>
        </is>
      </c>
      <c r="AB17" t="inlineStr">
        <is>
          <t xml:space="preserve">For you</t>
        </is>
      </c>
    </row>
    <row r="18">
      <c r="A18" t="inlineStr">
        <is>
          <t xml:space="preserve">Kevin Andre Lawson</t>
        </is>
      </c>
      <c r="B18" s="40">
        <v>4721836590214</v>
      </c>
      <c r="C18" t="inlineStr">
        <is>
          <t xml:space="preserve">P</t>
        </is>
      </c>
      <c r="D18" s="78">
        <f>D17+F18-G18</f>
      </c>
      <c r="E18" s="1">
        <v>46133</v>
      </c>
      <c r="F18" s="82">
        <v>225.0</v>
      </c>
      <c r="G18" s="82">
        <v>0</v>
      </c>
      <c r="H18" t="inlineStr">
        <is>
          <t xml:space="preserve">P2P</t>
        </is>
      </c>
      <c r="I18" t="inlineStr">
        <is>
          <t xml:space="preserve">C</t>
        </is>
      </c>
      <c r="J18" t="inlineStr">
        <is>
          <t xml:space="preserve">Untagged</t>
        </is>
      </c>
      <c r="K18" t="inlineStr">
        <is>
          <t xml:space="preserve">Zelle received</t>
        </is>
      </c>
      <c r="T18" s="81">
        <v>0.6847222222222222</v>
      </c>
      <c r="U18" s="1">
        <v>46133</v>
      </c>
      <c r="V18" t="inlineStr">
        <is>
          <t xml:space="preserve">Derrick Owens</t>
        </is>
      </c>
      <c r="W18" t="inlineStr">
        <is>
          <t xml:space="preserve">Regions Bank</t>
        </is>
      </c>
      <c r="X18" s="77" t="inlineStr">
        <is>
          <t xml:space="preserve">ZELLE-S-1104</t>
        </is>
      </c>
      <c r="Y18" t="inlineStr">
        <is>
          <t xml:space="preserve">Kevin Andre Lawson</t>
        </is>
      </c>
      <c r="Z18" t="inlineStr">
        <is>
          <t xml:space="preserve">Bank of America</t>
        </is>
      </c>
      <c r="AA18" s="77" t="inlineStr">
        <is>
          <t xml:space="preserve">4721836590214</t>
        </is>
      </c>
    </row>
    <row r="19">
      <c r="A19" t="inlineStr">
        <is>
          <t xml:space="preserve">Kevin Andre Lawson</t>
        </is>
      </c>
      <c r="B19" s="40">
        <v>4721836590214</v>
      </c>
      <c r="C19" t="inlineStr">
        <is>
          <t xml:space="preserve">P</t>
        </is>
      </c>
      <c r="D19" s="78">
        <f>D18+F19-G19</f>
      </c>
      <c r="E19" s="1">
        <v>46134</v>
      </c>
      <c r="F19" s="82">
        <v>250.0</v>
      </c>
      <c r="G19" s="82">
        <v>0</v>
      </c>
      <c r="H19" t="inlineStr">
        <is>
          <t xml:space="preserve">P2P</t>
        </is>
      </c>
      <c r="I19" t="inlineStr">
        <is>
          <t xml:space="preserve">C</t>
        </is>
      </c>
      <c r="J19" t="inlineStr">
        <is>
          <t xml:space="preserve">Untagged</t>
        </is>
      </c>
      <c r="K19" t="inlineStr">
        <is>
          <t xml:space="preserve">Zelle received</t>
        </is>
      </c>
      <c r="T19" s="81">
        <v>0.6430555555555556</v>
      </c>
      <c r="U19" s="1">
        <v>46134</v>
      </c>
      <c r="V19" t="inlineStr">
        <is>
          <t xml:space="preserve">Priya Shah</t>
        </is>
      </c>
      <c r="W19" t="inlineStr">
        <is>
          <t xml:space="preserve">Bank of America</t>
        </is>
      </c>
      <c r="X19" s="77" t="inlineStr">
        <is>
          <t xml:space="preserve">ZELLE-S-1121</t>
        </is>
      </c>
      <c r="Y19" t="inlineStr">
        <is>
          <t xml:space="preserve">Kevin Andre Lawson</t>
        </is>
      </c>
      <c r="Z19" t="inlineStr">
        <is>
          <t xml:space="preserve">Bank of America</t>
        </is>
      </c>
      <c r="AA19" s="77" t="inlineStr">
        <is>
          <t xml:space="preserve">4721836590214</t>
        </is>
      </c>
    </row>
    <row r="20">
      <c r="A20" t="inlineStr">
        <is>
          <t xml:space="preserve">Kevin Andre Lawson</t>
        </is>
      </c>
      <c r="B20" s="40">
        <v>4721836590214</v>
      </c>
      <c r="C20" t="inlineStr">
        <is>
          <t xml:space="preserve">P</t>
        </is>
      </c>
      <c r="D20" s="78">
        <f>D19+F20-G20</f>
      </c>
      <c r="E20" s="1">
        <v>46134</v>
      </c>
      <c r="F20" s="82">
        <v>0</v>
      </c>
      <c r="G20" s="82">
        <v>112.4</v>
      </c>
      <c r="H20" t="inlineStr">
        <is>
          <t xml:space="preserve">ACH</t>
        </is>
      </c>
      <c r="I20" t="inlineStr">
        <is>
          <t xml:space="preserve">D</t>
        </is>
      </c>
      <c r="J20" t="inlineStr">
        <is>
          <t xml:space="preserve">Untagged</t>
        </is>
      </c>
      <c r="K20" t="inlineStr">
        <is>
          <t xml:space="preserve">Auto insurance premium</t>
        </is>
      </c>
      <c r="N20" t="inlineStr">
        <is>
          <t xml:space="preserve">Orlando</t>
        </is>
      </c>
      <c r="O20" t="inlineStr">
        <is>
          <t xml:space="preserve">FL</t>
        </is>
      </c>
      <c r="P20">
        <v>32839</v>
      </c>
      <c r="U20" s="1">
        <v>46134</v>
      </c>
      <c r="V20" t="inlineStr">
        <is>
          <t xml:space="preserve">Kevin Andre Lawson</t>
        </is>
      </c>
      <c r="W20" t="inlineStr">
        <is>
          <t xml:space="preserve">Bank of America</t>
        </is>
      </c>
      <c r="X20" s="77" t="inlineStr">
        <is>
          <t xml:space="preserve">4721836590214</t>
        </is>
      </c>
      <c r="Y20" t="inlineStr">
        <is>
          <t xml:space="preserve">GEICO</t>
        </is>
      </c>
      <c r="Z20" t="inlineStr">
        <is>
          <t xml:space="preserve">Bank of America</t>
        </is>
      </c>
      <c r="AA20" s="77" t="inlineStr">
        <is>
          <t xml:space="preserve">INS-GEICO</t>
        </is>
      </c>
    </row>
    <row r="21">
      <c r="A21" t="inlineStr">
        <is>
          <t xml:space="preserve">Kevin Andre Lawson</t>
        </is>
      </c>
      <c r="B21" s="40">
        <v>4721836590214</v>
      </c>
      <c r="C21" t="inlineStr">
        <is>
          <t xml:space="preserve">P</t>
        </is>
      </c>
      <c r="D21" s="78">
        <f>D20+F21-G21</f>
      </c>
      <c r="E21" s="1">
        <v>46134</v>
      </c>
      <c r="F21" s="82">
        <v>0</v>
      </c>
      <c r="G21" s="82">
        <v>33.95</v>
      </c>
      <c r="H21" t="inlineStr">
        <is>
          <t xml:space="preserve">Debit Card</t>
        </is>
      </c>
      <c r="I21" t="inlineStr">
        <is>
          <t xml:space="preserve">D</t>
        </is>
      </c>
      <c r="J21" t="inlineStr">
        <is>
          <t xml:space="preserve">Untagged</t>
        </is>
      </c>
      <c r="K21" t="inlineStr">
        <is>
          <t xml:space="preserve">RaceTrac fuel</t>
        </is>
      </c>
      <c r="L21" t="inlineStr">
        <is>
          <t xml:space="preserve">4128 5530 9187 2264</t>
        </is>
      </c>
      <c r="N21" t="inlineStr">
        <is>
          <t xml:space="preserve">Orlando</t>
        </is>
      </c>
      <c r="O21" t="inlineStr">
        <is>
          <t xml:space="preserve">FL</t>
        </is>
      </c>
      <c r="P21">
        <v>32839</v>
      </c>
      <c r="S21" t="inlineStr">
        <is>
          <t xml:space="preserve">POS-ORL-2906</t>
        </is>
      </c>
      <c r="T21" s="81">
        <v>0.3506944444444444</v>
      </c>
      <c r="U21" s="1">
        <v>46135</v>
      </c>
      <c r="V21" t="inlineStr">
        <is>
          <t xml:space="preserve">Kevin Andre Lawson</t>
        </is>
      </c>
      <c r="W21" t="inlineStr">
        <is>
          <t xml:space="preserve">Bank of America</t>
        </is>
      </c>
      <c r="X21" s="77" t="inlineStr">
        <is>
          <t xml:space="preserve">4721836590214</t>
        </is>
      </c>
      <c r="Y21" t="inlineStr">
        <is>
          <t xml:space="preserve">RaceTrac</t>
        </is>
      </c>
    </row>
    <row r="22">
      <c r="A22" t="inlineStr">
        <is>
          <t xml:space="preserve">Kevin Andre Lawson</t>
        </is>
      </c>
      <c r="B22" s="40">
        <v>4721836590214</v>
      </c>
      <c r="C22" t="inlineStr">
        <is>
          <t xml:space="preserve">P</t>
        </is>
      </c>
      <c r="D22" s="78">
        <f>D21+F22-G22</f>
      </c>
      <c r="E22" s="1">
        <v>46136</v>
      </c>
      <c r="F22" s="82">
        <v>381.45</v>
      </c>
      <c r="G22" s="82">
        <v>0</v>
      </c>
      <c r="H22" t="inlineStr">
        <is>
          <t xml:space="preserve">ACH</t>
        </is>
      </c>
      <c r="I22" t="inlineStr">
        <is>
          <t xml:space="preserve">C</t>
        </is>
      </c>
      <c r="J22" t="inlineStr">
        <is>
          <t xml:space="preserve">Untagged</t>
        </is>
      </c>
      <c r="K22" t="inlineStr">
        <is>
          <t xml:space="preserve">Payroll deposit</t>
        </is>
      </c>
      <c r="U22" s="1">
        <v>46136</v>
      </c>
      <c r="V22" t="inlineStr">
        <is>
          <t xml:space="preserve">Walmart Inc.</t>
        </is>
      </c>
      <c r="W22" t="inlineStr">
        <is>
          <t xml:space="preserve">JPMorgan Chase</t>
        </is>
      </c>
      <c r="X22" s="77" t="inlineStr">
        <is>
          <t xml:space="preserve">PAYROLL-WMT-0424</t>
        </is>
      </c>
      <c r="Y22" t="inlineStr">
        <is>
          <t xml:space="preserve">Kevin Andre Lawson</t>
        </is>
      </c>
      <c r="Z22" t="inlineStr">
        <is>
          <t xml:space="preserve">Bank of America</t>
        </is>
      </c>
      <c r="AA22" s="77" t="inlineStr">
        <is>
          <t xml:space="preserve">4721836590214</t>
        </is>
      </c>
    </row>
    <row r="23">
      <c r="A23" t="inlineStr">
        <is>
          <t xml:space="preserve">Kevin Andre Lawson</t>
        </is>
      </c>
      <c r="B23" s="40">
        <v>4721836590214</v>
      </c>
      <c r="C23" t="inlineStr">
        <is>
          <t xml:space="preserve">P</t>
        </is>
      </c>
      <c r="D23" s="78">
        <f>D22+F23-G23</f>
      </c>
      <c r="E23" s="1">
        <v>46136</v>
      </c>
      <c r="F23" s="82">
        <v>500.0</v>
      </c>
      <c r="G23" s="82">
        <v>0</v>
      </c>
      <c r="H23" t="inlineStr">
        <is>
          <t xml:space="preserve">P2P</t>
        </is>
      </c>
      <c r="I23" t="inlineStr">
        <is>
          <t xml:space="preserve">C</t>
        </is>
      </c>
      <c r="J23" t="inlineStr">
        <is>
          <t xml:space="preserve">Untagged</t>
        </is>
      </c>
      <c r="K23" t="inlineStr">
        <is>
          <t xml:space="preserve">Zelle received</t>
        </is>
      </c>
      <c r="T23" s="81">
        <v>0.6916666666666667</v>
      </c>
      <c r="U23" s="1">
        <v>46136</v>
      </c>
      <c r="V23" t="inlineStr">
        <is>
          <t xml:space="preserve">Derrick Owens</t>
        </is>
      </c>
      <c r="W23" t="inlineStr">
        <is>
          <t xml:space="preserve">Regions Bank</t>
        </is>
      </c>
      <c r="X23" s="77" t="inlineStr">
        <is>
          <t xml:space="preserve">ZELLE-S-1104</t>
        </is>
      </c>
      <c r="Y23" t="inlineStr">
        <is>
          <t xml:space="preserve">Kevin Andre Lawson</t>
        </is>
      </c>
      <c r="Z23" t="inlineStr">
        <is>
          <t xml:space="preserve">Bank of America</t>
        </is>
      </c>
      <c r="AA23" s="77" t="inlineStr">
        <is>
          <t xml:space="preserve">4721836590214</t>
        </is>
      </c>
      <c r="AB23" t="inlineStr">
        <is>
          <t xml:space="preserve">Thanks</t>
        </is>
      </c>
    </row>
    <row r="24">
      <c r="A24" t="inlineStr">
        <is>
          <t xml:space="preserve">Kevin Andre Lawson</t>
        </is>
      </c>
      <c r="B24" s="40">
        <v>4721836590214</v>
      </c>
      <c r="C24" t="inlineStr">
        <is>
          <t xml:space="preserve">P</t>
        </is>
      </c>
      <c r="D24" s="78">
        <f>D23+F24-G24</f>
      </c>
      <c r="E24" s="1">
        <v>46136</v>
      </c>
      <c r="F24" s="82">
        <v>0</v>
      </c>
      <c r="G24" s="82">
        <v>58.05</v>
      </c>
      <c r="H24" t="inlineStr">
        <is>
          <t xml:space="preserve">Debit Card</t>
        </is>
      </c>
      <c r="I24" t="inlineStr">
        <is>
          <t xml:space="preserve">D</t>
        </is>
      </c>
      <c r="J24" t="inlineStr">
        <is>
          <t xml:space="preserve">Untagged</t>
        </is>
      </c>
      <c r="K24" t="inlineStr">
        <is>
          <t xml:space="preserve">Aldi</t>
        </is>
      </c>
      <c r="L24" t="inlineStr">
        <is>
          <t xml:space="preserve">4128 5530 9187 2264</t>
        </is>
      </c>
      <c r="N24" t="inlineStr">
        <is>
          <t xml:space="preserve">Orlando</t>
        </is>
      </c>
      <c r="O24" t="inlineStr">
        <is>
          <t xml:space="preserve">FL</t>
        </is>
      </c>
      <c r="P24">
        <v>32839</v>
      </c>
      <c r="S24" t="inlineStr">
        <is>
          <t xml:space="preserve">POS-ORL-1895</t>
        </is>
      </c>
      <c r="T24" s="81">
        <v>0.45625</v>
      </c>
      <c r="U24" s="1">
        <v>46137</v>
      </c>
      <c r="V24" t="inlineStr">
        <is>
          <t xml:space="preserve">Kevin Andre Lawson</t>
        </is>
      </c>
      <c r="W24" t="inlineStr">
        <is>
          <t xml:space="preserve">Bank of America</t>
        </is>
      </c>
      <c r="X24" s="77" t="inlineStr">
        <is>
          <t xml:space="preserve">4721836590214</t>
        </is>
      </c>
      <c r="Y24" t="inlineStr">
        <is>
          <t xml:space="preserve">Aldi</t>
        </is>
      </c>
    </row>
    <row r="25">
      <c r="A25" t="inlineStr">
        <is>
          <t xml:space="preserve">Kevin Andre Lawson</t>
        </is>
      </c>
      <c r="B25" s="40">
        <v>4721836590214</v>
      </c>
      <c r="C25" t="inlineStr">
        <is>
          <t xml:space="preserve">P</t>
        </is>
      </c>
      <c r="D25" s="78">
        <f>D24+F25-G25</f>
      </c>
      <c r="E25" s="1">
        <v>46136</v>
      </c>
      <c r="F25" s="82">
        <v>0</v>
      </c>
      <c r="G25" s="82">
        <v>32.93</v>
      </c>
      <c r="H25" t="inlineStr">
        <is>
          <t xml:space="preserve">Debit Card</t>
        </is>
      </c>
      <c r="I25" t="inlineStr">
        <is>
          <t xml:space="preserve">D</t>
        </is>
      </c>
      <c r="J25" t="inlineStr">
        <is>
          <t xml:space="preserve">Untagged</t>
        </is>
      </c>
      <c r="K25" t="inlineStr">
        <is>
          <t xml:space="preserve">RaceTrac fuel</t>
        </is>
      </c>
      <c r="L25" t="inlineStr">
        <is>
          <t xml:space="preserve">4128 5530 9187 2264</t>
        </is>
      </c>
      <c r="N25" t="inlineStr">
        <is>
          <t xml:space="preserve">Orlando</t>
        </is>
      </c>
      <c r="O25" t="inlineStr">
        <is>
          <t xml:space="preserve">FL</t>
        </is>
      </c>
      <c r="P25">
        <v>32839</v>
      </c>
      <c r="S25" t="inlineStr">
        <is>
          <t xml:space="preserve">POS-ORL-2229</t>
        </is>
      </c>
      <c r="T25" s="81">
        <v>0.7451388888888889</v>
      </c>
      <c r="U25" s="1">
        <v>46137</v>
      </c>
      <c r="V25" t="inlineStr">
        <is>
          <t xml:space="preserve">Kevin Andre Lawson</t>
        </is>
      </c>
      <c r="W25" t="inlineStr">
        <is>
          <t xml:space="preserve">Bank of America</t>
        </is>
      </c>
      <c r="X25" s="77" t="inlineStr">
        <is>
          <t xml:space="preserve">4721836590214</t>
        </is>
      </c>
      <c r="Y25" t="inlineStr">
        <is>
          <t xml:space="preserve">RaceTrac</t>
        </is>
      </c>
    </row>
    <row r="26">
      <c r="A26" t="inlineStr">
        <is>
          <t xml:space="preserve">Kevin Andre Lawson</t>
        </is>
      </c>
      <c r="B26" s="40">
        <v>4721836590214</v>
      </c>
      <c r="C26" t="inlineStr">
        <is>
          <t xml:space="preserve">P</t>
        </is>
      </c>
      <c r="D26" s="78">
        <f>D25+F26-G26</f>
      </c>
      <c r="E26" s="1">
        <v>46137</v>
      </c>
      <c r="F26" s="82">
        <v>480.0</v>
      </c>
      <c r="G26" s="82">
        <v>0</v>
      </c>
      <c r="H26" t="inlineStr">
        <is>
          <t xml:space="preserve">P2P</t>
        </is>
      </c>
      <c r="I26" t="inlineStr">
        <is>
          <t xml:space="preserve">C</t>
        </is>
      </c>
      <c r="J26" t="inlineStr">
        <is>
          <t xml:space="preserve">Untagged</t>
        </is>
      </c>
      <c r="K26" t="inlineStr">
        <is>
          <t xml:space="preserve">Zelle received</t>
        </is>
      </c>
      <c r="T26" s="81">
        <v>0.5680555555555555</v>
      </c>
      <c r="U26" s="1">
        <v>46137</v>
      </c>
      <c r="V26" t="inlineStr">
        <is>
          <t xml:space="preserve">Priya Shah</t>
        </is>
      </c>
      <c r="W26" t="inlineStr">
        <is>
          <t xml:space="preserve">Bank of America</t>
        </is>
      </c>
      <c r="X26" s="77" t="inlineStr">
        <is>
          <t xml:space="preserve">ZELLE-S-1121</t>
        </is>
      </c>
      <c r="Y26" t="inlineStr">
        <is>
          <t xml:space="preserve">Kevin Andre Lawson</t>
        </is>
      </c>
      <c r="Z26" t="inlineStr">
        <is>
          <t xml:space="preserve">Bank of America</t>
        </is>
      </c>
      <c r="AA26" s="77" t="inlineStr">
        <is>
          <t xml:space="preserve">4721836590214</t>
        </is>
      </c>
      <c r="AB26" t="inlineStr">
        <is>
          <t xml:space="preserve">Sent</t>
        </is>
      </c>
    </row>
    <row r="27">
      <c r="A27" t="inlineStr">
        <is>
          <t xml:space="preserve">Kevin Andre Lawson</t>
        </is>
      </c>
      <c r="B27" s="40">
        <v>4721836590214</v>
      </c>
      <c r="C27" t="inlineStr">
        <is>
          <t xml:space="preserve">P</t>
        </is>
      </c>
      <c r="D27" s="78">
        <f>D26+F27-G27</f>
      </c>
      <c r="E27" s="1">
        <v>46139</v>
      </c>
      <c r="F27" s="82">
        <v>225.0</v>
      </c>
      <c r="G27" s="82">
        <v>0</v>
      </c>
      <c r="H27" t="inlineStr">
        <is>
          <t xml:space="preserve">P2P</t>
        </is>
      </c>
      <c r="I27" t="inlineStr">
        <is>
          <t xml:space="preserve">C</t>
        </is>
      </c>
      <c r="J27" t="inlineStr">
        <is>
          <t xml:space="preserve">Untagged</t>
        </is>
      </c>
      <c r="K27" t="inlineStr">
        <is>
          <t xml:space="preserve">Zelle received</t>
        </is>
      </c>
      <c r="T27" s="81">
        <v>0.8784722222222222</v>
      </c>
      <c r="U27" s="1">
        <v>46139</v>
      </c>
      <c r="V27" t="inlineStr">
        <is>
          <t xml:space="preserve">Tiffany Moore</t>
        </is>
      </c>
      <c r="W27" t="inlineStr">
        <is>
          <t xml:space="preserve">Truist</t>
        </is>
      </c>
      <c r="X27" s="77" t="inlineStr">
        <is>
          <t xml:space="preserve">ZELLE-S-1129</t>
        </is>
      </c>
      <c r="Y27" t="inlineStr">
        <is>
          <t xml:space="preserve">Kevin Andre Lawson</t>
        </is>
      </c>
      <c r="Z27" t="inlineStr">
        <is>
          <t xml:space="preserve">Bank of America</t>
        </is>
      </c>
      <c r="AA27" s="77" t="inlineStr">
        <is>
          <t xml:space="preserve">4721836590214</t>
        </is>
      </c>
      <c r="AB27" t="inlineStr">
        <is>
          <t xml:space="preserve">For you</t>
        </is>
      </c>
    </row>
    <row r="28">
      <c r="A28" t="inlineStr">
        <is>
          <t xml:space="preserve">Kevin Andre Lawson</t>
        </is>
      </c>
      <c r="B28" s="40">
        <v>4721836590214</v>
      </c>
      <c r="C28" t="inlineStr">
        <is>
          <t xml:space="preserve">P</t>
        </is>
      </c>
      <c r="D28" s="78">
        <f>D27+F28-G28</f>
      </c>
      <c r="E28" s="1">
        <v>46142</v>
      </c>
      <c r="F28" s="82">
        <v>0</v>
      </c>
      <c r="G28" s="82">
        <v>3750.0</v>
      </c>
      <c r="H28" t="inlineStr">
        <is>
          <t xml:space="preserve">Wire</t>
        </is>
      </c>
      <c r="I28" t="inlineStr">
        <is>
          <t xml:space="preserve">D</t>
        </is>
      </c>
      <c r="J28" t="inlineStr">
        <is>
          <t xml:space="preserve">Untagged</t>
        </is>
      </c>
      <c r="K28" t="inlineStr">
        <is>
          <t xml:space="preserve">International wire out - Panama</t>
        </is>
      </c>
      <c r="N28" t="inlineStr">
        <is>
          <t xml:space="preserve">Orlando</t>
        </is>
      </c>
      <c r="O28" t="inlineStr">
        <is>
          <t xml:space="preserve">FL</t>
        </is>
      </c>
      <c r="P28">
        <v>32839</v>
      </c>
      <c r="Q28" t="inlineStr">
        <is>
          <t xml:space="preserve">FL-ORL-03</t>
        </is>
      </c>
      <c r="R28" t="inlineStr">
        <is>
          <t xml:space="preserve">TELLER03</t>
        </is>
      </c>
      <c r="T28" s="81">
        <v>0.6604166666666667</v>
      </c>
      <c r="U28" s="1">
        <v>46142</v>
      </c>
      <c r="V28" t="inlineStr">
        <is>
          <t xml:space="preserve">Kevin Andre Lawson</t>
        </is>
      </c>
      <c r="W28" t="inlineStr">
        <is>
          <t xml:space="preserve">Bank of America</t>
        </is>
      </c>
      <c r="X28" s="77" t="inlineStr">
        <is>
          <t xml:space="preserve">4721836590214</t>
        </is>
      </c>
      <c r="Y28" t="inlineStr">
        <is>
          <t xml:space="preserve">Istmo Meridian Trading Corp.</t>
        </is>
      </c>
      <c r="Z28" t="inlineStr">
        <is>
          <t xml:space="preserve">Banco Atlantico de Panama, S.A.</t>
        </is>
      </c>
      <c r="AA28" s="77" t="inlineStr">
        <is>
          <t xml:space="preserve">PA-0417-2290-5531</t>
        </is>
      </c>
      <c r="AB28" t="inlineStr">
        <is>
          <t xml:space="preserve">Services</t>
        </is>
      </c>
    </row>
    <row r="29">
      <c r="A29" t="inlineStr">
        <is>
          <t xml:space="preserve">Kevin Andre Lawson</t>
        </is>
      </c>
      <c r="B29" s="40">
        <v>4721836590214</v>
      </c>
      <c r="C29" t="inlineStr">
        <is>
          <t xml:space="preserve">P</t>
        </is>
      </c>
      <c r="D29" s="78">
        <f>D28+F29-G29</f>
      </c>
      <c r="E29" s="1">
        <v>46142</v>
      </c>
      <c r="F29" s="82">
        <v>0</v>
      </c>
      <c r="G29" s="82">
        <v>45.0</v>
      </c>
      <c r="H29" t="inlineStr">
        <is>
          <t xml:space="preserve">Fee</t>
        </is>
      </c>
      <c r="I29" t="inlineStr">
        <is>
          <t xml:space="preserve">D</t>
        </is>
      </c>
      <c r="J29" t="inlineStr">
        <is>
          <t xml:space="preserve">Untagged</t>
        </is>
      </c>
      <c r="K29" t="inlineStr">
        <is>
          <t xml:space="preserve">International wire transfer fee</t>
        </is>
      </c>
      <c r="U29" s="1">
        <v>46142</v>
      </c>
      <c r="V29" t="inlineStr">
        <is>
          <t xml:space="preserve">Kevin Andre Lawson</t>
        </is>
      </c>
      <c r="W29" t="inlineStr">
        <is>
          <t xml:space="preserve">Bank of America</t>
        </is>
      </c>
      <c r="X29" s="77" t="inlineStr">
        <is>
          <t xml:space="preserve">4721836590214</t>
        </is>
      </c>
      <c r="Y29" t="inlineStr">
        <is>
          <t xml:space="preserve">Bank of America</t>
        </is>
      </c>
      <c r="AA29" s="77" t="inlineStr">
        <is>
          <t xml:space="preserve">FEE-INTLWIRE</t>
        </is>
      </c>
    </row>
    <row r="30">
      <c r="A30" t="inlineStr">
        <is>
          <t xml:space="preserve">Kevin Andre Lawson</t>
        </is>
      </c>
      <c r="B30" s="40">
        <v>4721836590214</v>
      </c>
      <c r="C30" t="inlineStr">
        <is>
          <t xml:space="preserve">P</t>
        </is>
      </c>
      <c r="D30" s="78">
        <f>D29+F30-G30</f>
      </c>
      <c r="E30" s="1">
        <v>46143</v>
      </c>
      <c r="F30" s="82">
        <v>390.72</v>
      </c>
      <c r="G30" s="82">
        <v>0</v>
      </c>
      <c r="H30" t="inlineStr">
        <is>
          <t xml:space="preserve">ACH</t>
        </is>
      </c>
      <c r="I30" t="inlineStr">
        <is>
          <t xml:space="preserve">C</t>
        </is>
      </c>
      <c r="J30" t="inlineStr">
        <is>
          <t xml:space="preserve">Untagged</t>
        </is>
      </c>
      <c r="K30" t="inlineStr">
        <is>
          <t xml:space="preserve">Payroll deposit</t>
        </is>
      </c>
      <c r="U30" s="1">
        <v>46143</v>
      </c>
      <c r="V30" t="inlineStr">
        <is>
          <t xml:space="preserve">Walmart Inc.</t>
        </is>
      </c>
      <c r="W30" t="inlineStr">
        <is>
          <t xml:space="preserve">JPMorgan Chase</t>
        </is>
      </c>
      <c r="X30" s="77" t="inlineStr">
        <is>
          <t xml:space="preserve">PAYROLL-WMT-0501</t>
        </is>
      </c>
      <c r="Y30" t="inlineStr">
        <is>
          <t xml:space="preserve">Kevin Andre Lawson</t>
        </is>
      </c>
      <c r="Z30" t="inlineStr">
        <is>
          <t xml:space="preserve">Bank of America</t>
        </is>
      </c>
      <c r="AA30" s="77" t="inlineStr">
        <is>
          <t xml:space="preserve">4721836590214</t>
        </is>
      </c>
    </row>
    <row r="31">
      <c r="A31" t="inlineStr">
        <is>
          <t xml:space="preserve">Kevin Andre Lawson</t>
        </is>
      </c>
      <c r="B31" s="40">
        <v>4721836590214</v>
      </c>
      <c r="C31" t="inlineStr">
        <is>
          <t xml:space="preserve">P</t>
        </is>
      </c>
      <c r="D31" s="78">
        <f>D30+F31-G31</f>
      </c>
      <c r="E31" s="1">
        <v>46143</v>
      </c>
      <c r="F31" s="82">
        <v>0</v>
      </c>
      <c r="G31" s="82">
        <v>650.0</v>
      </c>
      <c r="H31" t="inlineStr">
        <is>
          <t xml:space="preserve">ACH</t>
        </is>
      </c>
      <c r="I31" t="inlineStr">
        <is>
          <t xml:space="preserve">D</t>
        </is>
      </c>
      <c r="J31" t="inlineStr">
        <is>
          <t xml:space="preserve">Untagged</t>
        </is>
      </c>
      <c r="K31" t="inlineStr">
        <is>
          <t xml:space="preserve">Monthly rent</t>
        </is>
      </c>
      <c r="N31" t="inlineStr">
        <is>
          <t xml:space="preserve">Orlando</t>
        </is>
      </c>
      <c r="O31" t="inlineStr">
        <is>
          <t xml:space="preserve">FL</t>
        </is>
      </c>
      <c r="P31">
        <v>32839</v>
      </c>
      <c r="U31" s="1">
        <v>46143</v>
      </c>
      <c r="V31" t="inlineStr">
        <is>
          <t xml:space="preserve">Kevin Andre Lawson</t>
        </is>
      </c>
      <c r="W31" t="inlineStr">
        <is>
          <t xml:space="preserve">Bank of America</t>
        </is>
      </c>
      <c r="X31" s="77" t="inlineStr">
        <is>
          <t xml:space="preserve">4721836590214</t>
        </is>
      </c>
      <c r="Y31" t="inlineStr">
        <is>
          <t xml:space="preserve">Palm Haven Apartments</t>
        </is>
      </c>
      <c r="Z31" t="inlineStr">
        <is>
          <t xml:space="preserve">Truist</t>
        </is>
      </c>
      <c r="AA31" s="77" t="inlineStr">
        <is>
          <t xml:space="preserve">RENT-2715-4B</t>
        </is>
      </c>
    </row>
    <row r="32">
      <c r="A32" t="inlineStr">
        <is>
          <t xml:space="preserve">Kevin Andre Lawson</t>
        </is>
      </c>
      <c r="B32" s="40">
        <v>4721836590214</v>
      </c>
      <c r="C32" t="inlineStr">
        <is>
          <t xml:space="preserve">P</t>
        </is>
      </c>
      <c r="D32" s="78">
        <f>D31+F32-G32</f>
      </c>
      <c r="E32" s="1">
        <v>46144</v>
      </c>
      <c r="F32" s="82">
        <v>450.0</v>
      </c>
      <c r="G32" s="82">
        <v>0</v>
      </c>
      <c r="H32" t="inlineStr">
        <is>
          <t xml:space="preserve">P2P</t>
        </is>
      </c>
      <c r="I32" t="inlineStr">
        <is>
          <t xml:space="preserve">C</t>
        </is>
      </c>
      <c r="J32" t="inlineStr">
        <is>
          <t xml:space="preserve">Untagged</t>
        </is>
      </c>
      <c r="K32" t="inlineStr">
        <is>
          <t xml:space="preserve">Zelle received</t>
        </is>
      </c>
      <c r="T32" s="81">
        <v>0.5423611111111111</v>
      </c>
      <c r="U32" s="1">
        <v>46144</v>
      </c>
      <c r="V32" t="inlineStr">
        <is>
          <t xml:space="preserve">Jorge Medina</t>
        </is>
      </c>
      <c r="W32" t="inlineStr">
        <is>
          <t xml:space="preserve">TD Bank</t>
        </is>
      </c>
      <c r="X32" s="77" t="inlineStr">
        <is>
          <t xml:space="preserve">ZELLE-S-1124</t>
        </is>
      </c>
      <c r="Y32" t="inlineStr">
        <is>
          <t xml:space="preserve">Kevin Andre Lawson</t>
        </is>
      </c>
      <c r="Z32" t="inlineStr">
        <is>
          <t xml:space="preserve">Bank of America</t>
        </is>
      </c>
      <c r="AA32" s="77" t="inlineStr">
        <is>
          <t xml:space="preserve">4721836590214</t>
        </is>
      </c>
      <c r="AB32" t="inlineStr">
        <is>
          <t xml:space="preserve">Sent</t>
        </is>
      </c>
    </row>
    <row r="33">
      <c r="A33" t="inlineStr">
        <is>
          <t xml:space="preserve">Kevin Andre Lawson</t>
        </is>
      </c>
      <c r="B33" s="40">
        <v>4721836590214</v>
      </c>
      <c r="C33" t="inlineStr">
        <is>
          <t xml:space="preserve">P</t>
        </is>
      </c>
      <c r="D33" s="78">
        <f>D32+F33-G33</f>
      </c>
      <c r="E33" s="1">
        <v>46145</v>
      </c>
      <c r="F33" s="82">
        <v>250.0</v>
      </c>
      <c r="G33" s="82">
        <v>0</v>
      </c>
      <c r="H33" t="inlineStr">
        <is>
          <t xml:space="preserve">P2P</t>
        </is>
      </c>
      <c r="I33" t="inlineStr">
        <is>
          <t xml:space="preserve">C</t>
        </is>
      </c>
      <c r="J33" t="inlineStr">
        <is>
          <t xml:space="preserve">Untagged</t>
        </is>
      </c>
      <c r="K33" t="inlineStr">
        <is>
          <t xml:space="preserve">Zelle received</t>
        </is>
      </c>
      <c r="T33" s="81">
        <v>0.7131944444444445</v>
      </c>
      <c r="U33" s="1">
        <v>46145</v>
      </c>
      <c r="V33" t="inlineStr">
        <is>
          <t xml:space="preserve">Darnell Price</t>
        </is>
      </c>
      <c r="W33" t="inlineStr">
        <is>
          <t xml:space="preserve">Regions Bank</t>
        </is>
      </c>
      <c r="X33" s="77" t="inlineStr">
        <is>
          <t xml:space="preserve">ZELLE-S-1122</t>
        </is>
      </c>
      <c r="Y33" t="inlineStr">
        <is>
          <t xml:space="preserve">Kevin Andre Lawson</t>
        </is>
      </c>
      <c r="Z33" t="inlineStr">
        <is>
          <t xml:space="preserve">Bank of America</t>
        </is>
      </c>
      <c r="AA33" s="77" t="inlineStr">
        <is>
          <t xml:space="preserve">4721836590214</t>
        </is>
      </c>
      <c r="AB33" t="inlineStr">
        <is>
          <t xml:space="preserve">Sent</t>
        </is>
      </c>
    </row>
    <row r="34">
      <c r="A34" t="inlineStr">
        <is>
          <t xml:space="preserve">Kevin Andre Lawson</t>
        </is>
      </c>
      <c r="B34" s="40">
        <v>4721836590214</v>
      </c>
      <c r="C34" t="inlineStr">
        <is>
          <t xml:space="preserve">P</t>
        </is>
      </c>
      <c r="D34" s="78">
        <f>D33+F34-G34</f>
      </c>
      <c r="E34" s="1">
        <v>46146</v>
      </c>
      <c r="F34" s="82">
        <v>0</v>
      </c>
      <c r="G34" s="82">
        <v>34.89</v>
      </c>
      <c r="H34" t="inlineStr">
        <is>
          <t xml:space="preserve">Debit Card</t>
        </is>
      </c>
      <c r="I34" t="inlineStr">
        <is>
          <t xml:space="preserve">D</t>
        </is>
      </c>
      <c r="J34" t="inlineStr">
        <is>
          <t xml:space="preserve">Untagged</t>
        </is>
      </c>
      <c r="K34" t="inlineStr">
        <is>
          <t xml:space="preserve">RaceTrac fuel</t>
        </is>
      </c>
      <c r="L34" t="inlineStr">
        <is>
          <t xml:space="preserve">4128 5530 9187 2264</t>
        </is>
      </c>
      <c r="N34" t="inlineStr">
        <is>
          <t xml:space="preserve">Orlando</t>
        </is>
      </c>
      <c r="O34" t="inlineStr">
        <is>
          <t xml:space="preserve">FL</t>
        </is>
      </c>
      <c r="P34">
        <v>32839</v>
      </c>
      <c r="S34" t="inlineStr">
        <is>
          <t xml:space="preserve">POS-ORL-2276</t>
        </is>
      </c>
      <c r="T34" s="81">
        <v>0.7993055555555556</v>
      </c>
      <c r="U34" s="1">
        <v>46147</v>
      </c>
      <c r="V34" t="inlineStr">
        <is>
          <t xml:space="preserve">Kevin Andre Lawson</t>
        </is>
      </c>
      <c r="W34" t="inlineStr">
        <is>
          <t xml:space="preserve">Bank of America</t>
        </is>
      </c>
      <c r="X34" s="77" t="inlineStr">
        <is>
          <t xml:space="preserve">4721836590214</t>
        </is>
      </c>
      <c r="Y34" t="inlineStr">
        <is>
          <t xml:space="preserve">RaceTrac</t>
        </is>
      </c>
    </row>
    <row r="35">
      <c r="A35" t="inlineStr">
        <is>
          <t xml:space="preserve">Kevin Andre Lawson</t>
        </is>
      </c>
      <c r="B35" s="40">
        <v>4721836590214</v>
      </c>
      <c r="C35" t="inlineStr">
        <is>
          <t xml:space="preserve">P</t>
        </is>
      </c>
      <c r="D35" s="78">
        <f>D34+F35-G35</f>
      </c>
      <c r="E35" s="1">
        <v>46147</v>
      </c>
      <c r="F35" s="82">
        <v>0</v>
      </c>
      <c r="G35" s="82">
        <v>44.76</v>
      </c>
      <c r="H35" t="inlineStr">
        <is>
          <t xml:space="preserve">Debit Card</t>
        </is>
      </c>
      <c r="I35" t="inlineStr">
        <is>
          <t xml:space="preserve">D</t>
        </is>
      </c>
      <c r="J35" t="inlineStr">
        <is>
          <t xml:space="preserve">Untagged</t>
        </is>
      </c>
      <c r="K35" t="inlineStr">
        <is>
          <t xml:space="preserve">Wawa fuel</t>
        </is>
      </c>
      <c r="L35" t="inlineStr">
        <is>
          <t xml:space="preserve">4128 5530 9187 2264</t>
        </is>
      </c>
      <c r="N35" t="inlineStr">
        <is>
          <t xml:space="preserve">Orlando</t>
        </is>
      </c>
      <c r="O35" t="inlineStr">
        <is>
          <t xml:space="preserve">FL</t>
        </is>
      </c>
      <c r="P35">
        <v>32839</v>
      </c>
      <c r="S35" t="inlineStr">
        <is>
          <t xml:space="preserve">POS-ORL-2968</t>
        </is>
      </c>
      <c r="T35" s="81">
        <v>0.7444444444444445</v>
      </c>
      <c r="U35" s="1">
        <v>46148</v>
      </c>
      <c r="V35" t="inlineStr">
        <is>
          <t xml:space="preserve">Kevin Andre Lawson</t>
        </is>
      </c>
      <c r="W35" t="inlineStr">
        <is>
          <t xml:space="preserve">Bank of America</t>
        </is>
      </c>
      <c r="X35" s="77" t="inlineStr">
        <is>
          <t xml:space="preserve">4721836590214</t>
        </is>
      </c>
      <c r="Y35" t="inlineStr">
        <is>
          <t xml:space="preserve">Wawa</t>
        </is>
      </c>
    </row>
    <row r="36">
      <c r="A36" t="inlineStr">
        <is>
          <t xml:space="preserve">Kevin Andre Lawson</t>
        </is>
      </c>
      <c r="B36" s="40">
        <v>4721836590214</v>
      </c>
      <c r="C36" t="inlineStr">
        <is>
          <t xml:space="preserve">P</t>
        </is>
      </c>
      <c r="D36" s="78">
        <f>D35+F36-G36</f>
      </c>
      <c r="E36" s="1">
        <v>46150</v>
      </c>
      <c r="F36" s="82">
        <v>387.31</v>
      </c>
      <c r="G36" s="82">
        <v>0</v>
      </c>
      <c r="H36" t="inlineStr">
        <is>
          <t xml:space="preserve">ACH</t>
        </is>
      </c>
      <c r="I36" t="inlineStr">
        <is>
          <t xml:space="preserve">C</t>
        </is>
      </c>
      <c r="J36" t="inlineStr">
        <is>
          <t xml:space="preserve">Untagged</t>
        </is>
      </c>
      <c r="K36" t="inlineStr">
        <is>
          <t xml:space="preserve">Payroll deposit</t>
        </is>
      </c>
      <c r="U36" s="1">
        <v>46150</v>
      </c>
      <c r="V36" t="inlineStr">
        <is>
          <t xml:space="preserve">Walmart Inc.</t>
        </is>
      </c>
      <c r="W36" t="inlineStr">
        <is>
          <t xml:space="preserve">JPMorgan Chase</t>
        </is>
      </c>
      <c r="X36" s="77" t="inlineStr">
        <is>
          <t xml:space="preserve">PAYROLL-WMT-0508</t>
        </is>
      </c>
      <c r="Y36" t="inlineStr">
        <is>
          <t xml:space="preserve">Kevin Andre Lawson</t>
        </is>
      </c>
      <c r="Z36" t="inlineStr">
        <is>
          <t xml:space="preserve">Bank of America</t>
        </is>
      </c>
      <c r="AA36" s="77" t="inlineStr">
        <is>
          <t xml:space="preserve">4721836590214</t>
        </is>
      </c>
    </row>
    <row r="37">
      <c r="A37" t="inlineStr">
        <is>
          <t xml:space="preserve">Kevin Andre Lawson</t>
        </is>
      </c>
      <c r="B37" s="40">
        <v>4721836590214</v>
      </c>
      <c r="C37" t="inlineStr">
        <is>
          <t xml:space="preserve">P</t>
        </is>
      </c>
      <c r="D37" s="78">
        <f>D36+F37-G37</f>
      </c>
      <c r="E37" s="1">
        <v>46151</v>
      </c>
      <c r="F37" s="82">
        <v>0</v>
      </c>
      <c r="G37" s="82">
        <v>37.31</v>
      </c>
      <c r="H37" t="inlineStr">
        <is>
          <t xml:space="preserve">Debit Card</t>
        </is>
      </c>
      <c r="I37" t="inlineStr">
        <is>
          <t xml:space="preserve">D</t>
        </is>
      </c>
      <c r="J37" t="inlineStr">
        <is>
          <t xml:space="preserve">Untagged</t>
        </is>
      </c>
      <c r="K37" t="inlineStr">
        <is>
          <t xml:space="preserve">RaceTrac fuel</t>
        </is>
      </c>
      <c r="L37" t="inlineStr">
        <is>
          <t xml:space="preserve">4128 5530 9187 2264</t>
        </is>
      </c>
      <c r="N37" t="inlineStr">
        <is>
          <t xml:space="preserve">Orlando</t>
        </is>
      </c>
      <c r="O37" t="inlineStr">
        <is>
          <t xml:space="preserve">FL</t>
        </is>
      </c>
      <c r="P37">
        <v>32839</v>
      </c>
      <c r="S37" t="inlineStr">
        <is>
          <t xml:space="preserve">POS-ORL-2527</t>
        </is>
      </c>
      <c r="T37" s="81">
        <v>0.6652777777777777</v>
      </c>
      <c r="U37" s="1">
        <v>46152</v>
      </c>
      <c r="V37" t="inlineStr">
        <is>
          <t xml:space="preserve">Kevin Andre Lawson</t>
        </is>
      </c>
      <c r="W37" t="inlineStr">
        <is>
          <t xml:space="preserve">Bank of America</t>
        </is>
      </c>
      <c r="X37" s="77" t="inlineStr">
        <is>
          <t xml:space="preserve">4721836590214</t>
        </is>
      </c>
      <c r="Y37" t="inlineStr">
        <is>
          <t xml:space="preserve">RaceTrac</t>
        </is>
      </c>
    </row>
    <row r="38">
      <c r="A38" t="inlineStr">
        <is>
          <t xml:space="preserve">Kevin Andre Lawson</t>
        </is>
      </c>
      <c r="B38" s="40">
        <v>4721836590214</v>
      </c>
      <c r="C38" t="inlineStr">
        <is>
          <t xml:space="preserve">P</t>
        </is>
      </c>
      <c r="D38" s="78">
        <f>D37+F38-G38</f>
      </c>
      <c r="E38" s="1">
        <v>46152</v>
      </c>
      <c r="F38" s="82">
        <v>275.0</v>
      </c>
      <c r="G38" s="82">
        <v>0</v>
      </c>
      <c r="H38" t="inlineStr">
        <is>
          <t xml:space="preserve">P2P</t>
        </is>
      </c>
      <c r="I38" t="inlineStr">
        <is>
          <t xml:space="preserve">C</t>
        </is>
      </c>
      <c r="J38" t="inlineStr">
        <is>
          <t xml:space="preserve">Untagged</t>
        </is>
      </c>
      <c r="K38" t="inlineStr">
        <is>
          <t xml:space="preserve">Zelle received</t>
        </is>
      </c>
      <c r="T38" s="81">
        <v>0.8458333333333333</v>
      </c>
      <c r="U38" s="1">
        <v>46152</v>
      </c>
      <c r="V38" t="inlineStr">
        <is>
          <t xml:space="preserve">Kayla Simmons</t>
        </is>
      </c>
      <c r="W38" t="inlineStr">
        <is>
          <t xml:space="preserve">Truist</t>
        </is>
      </c>
      <c r="X38" s="77" t="inlineStr">
        <is>
          <t xml:space="preserve">ZELLE-S-1103</t>
        </is>
      </c>
      <c r="Y38" t="inlineStr">
        <is>
          <t xml:space="preserve">Kevin Andre Lawson</t>
        </is>
      </c>
      <c r="Z38" t="inlineStr">
        <is>
          <t xml:space="preserve">Bank of America</t>
        </is>
      </c>
      <c r="AA38" s="77" t="inlineStr">
        <is>
          <t xml:space="preserve">4721836590214</t>
        </is>
      </c>
    </row>
    <row r="39">
      <c r="A39" t="inlineStr">
        <is>
          <t xml:space="preserve">Kevin Andre Lawson</t>
        </is>
      </c>
      <c r="B39" s="40">
        <v>4721836590214</v>
      </c>
      <c r="C39" t="inlineStr">
        <is>
          <t xml:space="preserve">P</t>
        </is>
      </c>
      <c r="D39" s="78">
        <f>D38+F39-G39</f>
      </c>
      <c r="E39" s="1">
        <v>46154</v>
      </c>
      <c r="F39" s="82">
        <v>0</v>
      </c>
      <c r="G39" s="82">
        <v>95.1</v>
      </c>
      <c r="H39" t="inlineStr">
        <is>
          <t xml:space="preserve">ACH</t>
        </is>
      </c>
      <c r="I39" t="inlineStr">
        <is>
          <t xml:space="preserve">D</t>
        </is>
      </c>
      <c r="J39" t="inlineStr">
        <is>
          <t xml:space="preserve">Untagged</t>
        </is>
      </c>
      <c r="K39" t="inlineStr">
        <is>
          <t xml:space="preserve">Electric &amp; water utility</t>
        </is>
      </c>
      <c r="N39" t="inlineStr">
        <is>
          <t xml:space="preserve">Orlando</t>
        </is>
      </c>
      <c r="O39" t="inlineStr">
        <is>
          <t xml:space="preserve">FL</t>
        </is>
      </c>
      <c r="P39">
        <v>32839</v>
      </c>
      <c r="U39" s="1">
        <v>46154</v>
      </c>
      <c r="V39" t="inlineStr">
        <is>
          <t xml:space="preserve">Kevin Andre Lawson</t>
        </is>
      </c>
      <c r="W39" t="inlineStr">
        <is>
          <t xml:space="preserve">Bank of America</t>
        </is>
      </c>
      <c r="X39" s="77" t="inlineStr">
        <is>
          <t xml:space="preserve">4721836590214</t>
        </is>
      </c>
      <c r="Y39" t="inlineStr">
        <is>
          <t xml:space="preserve">Orlando Utilities Commission</t>
        </is>
      </c>
      <c r="Z39" t="inlineStr">
        <is>
          <t xml:space="preserve">Wells Fargo</t>
        </is>
      </c>
      <c r="AA39" s="77" t="inlineStr">
        <is>
          <t xml:space="preserve">UTIL-OUC</t>
        </is>
      </c>
    </row>
    <row r="40">
      <c r="A40" t="inlineStr">
        <is>
          <t xml:space="preserve">Kevin Andre Lawson</t>
        </is>
      </c>
      <c r="B40" s="40">
        <v>4721836590214</v>
      </c>
      <c r="C40" t="inlineStr">
        <is>
          <t xml:space="preserve">P</t>
        </is>
      </c>
      <c r="D40" s="78">
        <f>D39+F40-G40</f>
      </c>
      <c r="E40" s="1">
        <v>46154</v>
      </c>
      <c r="F40" s="82">
        <v>0</v>
      </c>
      <c r="G40" s="82">
        <v>60.9</v>
      </c>
      <c r="H40" t="inlineStr">
        <is>
          <t xml:space="preserve">Debit Card</t>
        </is>
      </c>
      <c r="I40" t="inlineStr">
        <is>
          <t xml:space="preserve">D</t>
        </is>
      </c>
      <c r="J40" t="inlineStr">
        <is>
          <t xml:space="preserve">Untagged</t>
        </is>
      </c>
      <c r="K40" t="inlineStr">
        <is>
          <t xml:space="preserve">Publix Super Market</t>
        </is>
      </c>
      <c r="L40" t="inlineStr">
        <is>
          <t xml:space="preserve">4128 5530 9187 2264</t>
        </is>
      </c>
      <c r="N40" t="inlineStr">
        <is>
          <t xml:space="preserve">Orlando</t>
        </is>
      </c>
      <c r="O40" t="inlineStr">
        <is>
          <t xml:space="preserve">FL</t>
        </is>
      </c>
      <c r="P40">
        <v>32839</v>
      </c>
      <c r="S40" t="inlineStr">
        <is>
          <t xml:space="preserve">POS-ORL-1474</t>
        </is>
      </c>
      <c r="T40" s="81">
        <v>0.4486111111111111</v>
      </c>
      <c r="U40" s="1">
        <v>46155</v>
      </c>
      <c r="V40" t="inlineStr">
        <is>
          <t xml:space="preserve">Kevin Andre Lawson</t>
        </is>
      </c>
      <c r="W40" t="inlineStr">
        <is>
          <t xml:space="preserve">Bank of America</t>
        </is>
      </c>
      <c r="X40" s="77" t="inlineStr">
        <is>
          <t xml:space="preserve">4721836590214</t>
        </is>
      </c>
      <c r="Y40" t="inlineStr">
        <is>
          <t xml:space="preserve">Publix Super Market</t>
        </is>
      </c>
    </row>
    <row r="41">
      <c r="A41" t="inlineStr">
        <is>
          <t xml:space="preserve">Kevin Andre Lawson</t>
        </is>
      </c>
      <c r="B41" s="40">
        <v>4721836590214</v>
      </c>
      <c r="C41" t="inlineStr">
        <is>
          <t xml:space="preserve">P</t>
        </is>
      </c>
      <c r="D41" s="78">
        <f>D40+F41-G41</f>
      </c>
      <c r="E41" s="1">
        <v>46156</v>
      </c>
      <c r="F41" s="82">
        <v>0</v>
      </c>
      <c r="G41" s="82">
        <v>59.91</v>
      </c>
      <c r="H41" t="inlineStr">
        <is>
          <t xml:space="preserve">Debit Card</t>
        </is>
      </c>
      <c r="I41" t="inlineStr">
        <is>
          <t xml:space="preserve">D</t>
        </is>
      </c>
      <c r="J41" t="inlineStr">
        <is>
          <t xml:space="preserve">Untagged</t>
        </is>
      </c>
      <c r="K41" t="inlineStr">
        <is>
          <t xml:space="preserve">Publix Super Market</t>
        </is>
      </c>
      <c r="L41" t="inlineStr">
        <is>
          <t xml:space="preserve">4128 5530 9187 2264</t>
        </is>
      </c>
      <c r="N41" t="inlineStr">
        <is>
          <t xml:space="preserve">Orlando</t>
        </is>
      </c>
      <c r="O41" t="inlineStr">
        <is>
          <t xml:space="preserve">FL</t>
        </is>
      </c>
      <c r="P41">
        <v>32839</v>
      </c>
      <c r="S41" t="inlineStr">
        <is>
          <t xml:space="preserve">POS-ORL-1820</t>
        </is>
      </c>
      <c r="T41" s="81">
        <v>0.6861111111111111</v>
      </c>
      <c r="U41" s="1">
        <v>46157</v>
      </c>
      <c r="V41" t="inlineStr">
        <is>
          <t xml:space="preserve">Kevin Andre Lawson</t>
        </is>
      </c>
      <c r="W41" t="inlineStr">
        <is>
          <t xml:space="preserve">Bank of America</t>
        </is>
      </c>
      <c r="X41" s="77" t="inlineStr">
        <is>
          <t xml:space="preserve">4721836590214</t>
        </is>
      </c>
      <c r="Y41" t="inlineStr">
        <is>
          <t xml:space="preserve">Publix Super Market</t>
        </is>
      </c>
    </row>
    <row r="42">
      <c r="A42" t="inlineStr">
        <is>
          <t xml:space="preserve">Kevin Andre Lawson</t>
        </is>
      </c>
      <c r="B42" s="40">
        <v>4721836590214</v>
      </c>
      <c r="C42" t="inlineStr">
        <is>
          <t xml:space="preserve">P</t>
        </is>
      </c>
      <c r="D42" s="78">
        <f>D41+F42-G42</f>
      </c>
      <c r="E42" s="1">
        <v>46157</v>
      </c>
      <c r="F42" s="82">
        <v>381.16</v>
      </c>
      <c r="G42" s="82">
        <v>0</v>
      </c>
      <c r="H42" t="inlineStr">
        <is>
          <t xml:space="preserve">ACH</t>
        </is>
      </c>
      <c r="I42" t="inlineStr">
        <is>
          <t xml:space="preserve">C</t>
        </is>
      </c>
      <c r="J42" t="inlineStr">
        <is>
          <t xml:space="preserve">Untagged</t>
        </is>
      </c>
      <c r="K42" t="inlineStr">
        <is>
          <t xml:space="preserve">Payroll deposit</t>
        </is>
      </c>
      <c r="U42" s="1">
        <v>46157</v>
      </c>
      <c r="V42" t="inlineStr">
        <is>
          <t xml:space="preserve">Walmart Inc.</t>
        </is>
      </c>
      <c r="W42" t="inlineStr">
        <is>
          <t xml:space="preserve">JPMorgan Chase</t>
        </is>
      </c>
      <c r="X42" s="77" t="inlineStr">
        <is>
          <t xml:space="preserve">PAYROLL-WMT-0515</t>
        </is>
      </c>
      <c r="Y42" t="inlineStr">
        <is>
          <t xml:space="preserve">Kevin Andre Lawson</t>
        </is>
      </c>
      <c r="Z42" t="inlineStr">
        <is>
          <t xml:space="preserve">Bank of America</t>
        </is>
      </c>
      <c r="AA42" s="77" t="inlineStr">
        <is>
          <t xml:space="preserve">4721836590214</t>
        </is>
      </c>
    </row>
    <row r="43">
      <c r="A43" t="inlineStr">
        <is>
          <t xml:space="preserve">Kevin Andre Lawson</t>
        </is>
      </c>
      <c r="B43" s="40">
        <v>4721836590214</v>
      </c>
      <c r="C43" t="inlineStr">
        <is>
          <t xml:space="preserve">P</t>
        </is>
      </c>
      <c r="D43" s="78">
        <f>D42+F43-G43</f>
      </c>
      <c r="E43" s="1">
        <v>46157</v>
      </c>
      <c r="F43" s="82">
        <v>350.0</v>
      </c>
      <c r="G43" s="82">
        <v>0</v>
      </c>
      <c r="H43" t="inlineStr">
        <is>
          <t xml:space="preserve">P2P</t>
        </is>
      </c>
      <c r="I43" t="inlineStr">
        <is>
          <t xml:space="preserve">C</t>
        </is>
      </c>
      <c r="J43" t="inlineStr">
        <is>
          <t xml:space="preserve">Untagged</t>
        </is>
      </c>
      <c r="K43" t="inlineStr">
        <is>
          <t xml:space="preserve">Zelle received</t>
        </is>
      </c>
      <c r="T43" s="81">
        <v>0.6236111111111111</v>
      </c>
      <c r="U43" s="1">
        <v>46157</v>
      </c>
      <c r="V43" t="inlineStr">
        <is>
          <t xml:space="preserve">Sofia Delgado</t>
        </is>
      </c>
      <c r="W43" t="inlineStr">
        <is>
          <t xml:space="preserve">TD Bank</t>
        </is>
      </c>
      <c r="X43" s="77" t="inlineStr">
        <is>
          <t xml:space="preserve">ZELLE-S-1115</t>
        </is>
      </c>
      <c r="Y43" t="inlineStr">
        <is>
          <t xml:space="preserve">Kevin Andre Lawson</t>
        </is>
      </c>
      <c r="Z43" t="inlineStr">
        <is>
          <t xml:space="preserve">Bank of America</t>
        </is>
      </c>
      <c r="AA43" s="77" t="inlineStr">
        <is>
          <t xml:space="preserve">4721836590214</t>
        </is>
      </c>
      <c r="AB43" t="inlineStr">
        <is>
          <t xml:space="preserve">Sent</t>
        </is>
      </c>
    </row>
    <row r="44">
      <c r="A44" t="inlineStr">
        <is>
          <t xml:space="preserve">Kevin Andre Lawson</t>
        </is>
      </c>
      <c r="B44" s="40">
        <v>4721836590214</v>
      </c>
      <c r="C44" t="inlineStr">
        <is>
          <t xml:space="preserve">P</t>
        </is>
      </c>
      <c r="D44" s="78">
        <f>D43+F44-G44</f>
      </c>
      <c r="E44" s="1">
        <v>46157</v>
      </c>
      <c r="F44" s="82">
        <v>0</v>
      </c>
      <c r="G44" s="82">
        <v>62.37</v>
      </c>
      <c r="H44" t="inlineStr">
        <is>
          <t xml:space="preserve">Debit Card</t>
        </is>
      </c>
      <c r="I44" t="inlineStr">
        <is>
          <t xml:space="preserve">D</t>
        </is>
      </c>
      <c r="J44" t="inlineStr">
        <is>
          <t xml:space="preserve">Untagged</t>
        </is>
      </c>
      <c r="K44" t="inlineStr">
        <is>
          <t xml:space="preserve">Publix Super Market</t>
        </is>
      </c>
      <c r="L44" t="inlineStr">
        <is>
          <t xml:space="preserve">4128 5530 9187 2264</t>
        </is>
      </c>
      <c r="N44" t="inlineStr">
        <is>
          <t xml:space="preserve">Orlando</t>
        </is>
      </c>
      <c r="O44" t="inlineStr">
        <is>
          <t xml:space="preserve">FL</t>
        </is>
      </c>
      <c r="P44">
        <v>32839</v>
      </c>
      <c r="S44" t="inlineStr">
        <is>
          <t xml:space="preserve">POS-ORL-1402</t>
        </is>
      </c>
      <c r="T44" s="81">
        <v>0.7354166666666667</v>
      </c>
      <c r="U44" s="1">
        <v>46158</v>
      </c>
      <c r="V44" t="inlineStr">
        <is>
          <t xml:space="preserve">Kevin Andre Lawson</t>
        </is>
      </c>
      <c r="W44" t="inlineStr">
        <is>
          <t xml:space="preserve">Bank of America</t>
        </is>
      </c>
      <c r="X44" s="77" t="inlineStr">
        <is>
          <t xml:space="preserve">4721836590214</t>
        </is>
      </c>
      <c r="Y44" t="inlineStr">
        <is>
          <t xml:space="preserve">Publix Super Market</t>
        </is>
      </c>
    </row>
    <row r="45">
      <c r="A45" t="inlineStr">
        <is>
          <t xml:space="preserve">Kevin Andre Lawson</t>
        </is>
      </c>
      <c r="B45" s="40">
        <v>4721836590214</v>
      </c>
      <c r="C45" t="inlineStr">
        <is>
          <t xml:space="preserve">P</t>
        </is>
      </c>
      <c r="D45" s="78">
        <f>D44+F45-G45</f>
      </c>
      <c r="E45" s="1">
        <v>46160</v>
      </c>
      <c r="F45" s="82">
        <v>0</v>
      </c>
      <c r="G45" s="82">
        <v>55.0</v>
      </c>
      <c r="H45" t="inlineStr">
        <is>
          <t xml:space="preserve">ACH</t>
        </is>
      </c>
      <c r="I45" t="inlineStr">
        <is>
          <t xml:space="preserve">D</t>
        </is>
      </c>
      <c r="J45" t="inlineStr">
        <is>
          <t xml:space="preserve">Untagged</t>
        </is>
      </c>
      <c r="K45" t="inlineStr">
        <is>
          <t xml:space="preserve">Mobile phone bill</t>
        </is>
      </c>
      <c r="N45" t="inlineStr">
        <is>
          <t xml:space="preserve">Orlando</t>
        </is>
      </c>
      <c r="O45" t="inlineStr">
        <is>
          <t xml:space="preserve">FL</t>
        </is>
      </c>
      <c r="P45">
        <v>32839</v>
      </c>
      <c r="U45" s="1">
        <v>46160</v>
      </c>
      <c r="V45" t="inlineStr">
        <is>
          <t xml:space="preserve">Kevin Andre Lawson</t>
        </is>
      </c>
      <c r="W45" t="inlineStr">
        <is>
          <t xml:space="preserve">Bank of America</t>
        </is>
      </c>
      <c r="X45" s="77" t="inlineStr">
        <is>
          <t xml:space="preserve">4721836590214</t>
        </is>
      </c>
      <c r="Y45" t="inlineStr">
        <is>
          <t xml:space="preserve">T-Mobile</t>
        </is>
      </c>
      <c r="Z45" t="inlineStr">
        <is>
          <t xml:space="preserve">Citibank</t>
        </is>
      </c>
      <c r="AA45" s="77" t="inlineStr">
        <is>
          <t xml:space="preserve">UTIL-TMO</t>
        </is>
      </c>
    </row>
    <row r="46">
      <c r="A46" t="inlineStr">
        <is>
          <t xml:space="preserve">Kevin Andre Lawson</t>
        </is>
      </c>
      <c r="B46" s="40">
        <v>4721836590214</v>
      </c>
      <c r="C46" t="inlineStr">
        <is>
          <t xml:space="preserve">P</t>
        </is>
      </c>
      <c r="D46" s="78">
        <f>D45+F46-G46</f>
      </c>
      <c r="E46" s="1">
        <v>46160</v>
      </c>
      <c r="F46" s="82">
        <v>0</v>
      </c>
      <c r="G46" s="82">
        <v>92.92</v>
      </c>
      <c r="H46" t="inlineStr">
        <is>
          <t xml:space="preserve">Debit Card</t>
        </is>
      </c>
      <c r="I46" t="inlineStr">
        <is>
          <t xml:space="preserve">D</t>
        </is>
      </c>
      <c r="J46" t="inlineStr">
        <is>
          <t xml:space="preserve">Untagged</t>
        </is>
      </c>
      <c r="K46" t="inlineStr">
        <is>
          <t xml:space="preserve">Aldi</t>
        </is>
      </c>
      <c r="L46" t="inlineStr">
        <is>
          <t xml:space="preserve">4128 5530 9187 2264</t>
        </is>
      </c>
      <c r="N46" t="inlineStr">
        <is>
          <t xml:space="preserve">Orlando</t>
        </is>
      </c>
      <c r="O46" t="inlineStr">
        <is>
          <t xml:space="preserve">FL</t>
        </is>
      </c>
      <c r="P46">
        <v>32839</v>
      </c>
      <c r="S46" t="inlineStr">
        <is>
          <t xml:space="preserve">POS-ORL-1907</t>
        </is>
      </c>
      <c r="T46" s="81">
        <v>0.45694444444444443</v>
      </c>
      <c r="U46" s="1">
        <v>46161</v>
      </c>
      <c r="V46" t="inlineStr">
        <is>
          <t xml:space="preserve">Kevin Andre Lawson</t>
        </is>
      </c>
      <c r="W46" t="inlineStr">
        <is>
          <t xml:space="preserve">Bank of America</t>
        </is>
      </c>
      <c r="X46" s="77" t="inlineStr">
        <is>
          <t xml:space="preserve">4721836590214</t>
        </is>
      </c>
      <c r="Y46" t="inlineStr">
        <is>
          <t xml:space="preserve">Aldi</t>
        </is>
      </c>
    </row>
    <row r="47">
      <c r="A47" t="inlineStr">
        <is>
          <t xml:space="preserve">Kevin Andre Lawson</t>
        </is>
      </c>
      <c r="B47" s="40">
        <v>4721836590214</v>
      </c>
      <c r="C47" t="inlineStr">
        <is>
          <t xml:space="preserve">P</t>
        </is>
      </c>
      <c r="D47" s="78">
        <f>D46+F47-G47</f>
      </c>
      <c r="E47" s="1">
        <v>46161</v>
      </c>
      <c r="F47" s="82">
        <v>250.0</v>
      </c>
      <c r="G47" s="82">
        <v>0</v>
      </c>
      <c r="H47" t="inlineStr">
        <is>
          <t xml:space="preserve">P2P</t>
        </is>
      </c>
      <c r="I47" t="inlineStr">
        <is>
          <t xml:space="preserve">C</t>
        </is>
      </c>
      <c r="J47" t="inlineStr">
        <is>
          <t xml:space="preserve">Untagged</t>
        </is>
      </c>
      <c r="K47" t="inlineStr">
        <is>
          <t xml:space="preserve">Zelle received</t>
        </is>
      </c>
      <c r="T47" s="81">
        <v>0.6423611111111112</v>
      </c>
      <c r="U47" s="1">
        <v>46161</v>
      </c>
      <c r="V47" t="inlineStr">
        <is>
          <t xml:space="preserve">Monique Harris</t>
        </is>
      </c>
      <c r="W47" t="inlineStr">
        <is>
          <t xml:space="preserve">Capital One</t>
        </is>
      </c>
      <c r="X47" s="77" t="inlineStr">
        <is>
          <t xml:space="preserve">ZELLE-S-1105</t>
        </is>
      </c>
      <c r="Y47" t="inlineStr">
        <is>
          <t xml:space="preserve">Kevin Andre Lawson</t>
        </is>
      </c>
      <c r="Z47" t="inlineStr">
        <is>
          <t xml:space="preserve">Bank of America</t>
        </is>
      </c>
      <c r="AA47" s="77" t="inlineStr">
        <is>
          <t xml:space="preserve">4721836590214</t>
        </is>
      </c>
    </row>
    <row r="48">
      <c r="A48" t="inlineStr">
        <is>
          <t xml:space="preserve">Kevin Andre Lawson</t>
        </is>
      </c>
      <c r="B48" s="40">
        <v>4721836590214</v>
      </c>
      <c r="C48" t="inlineStr">
        <is>
          <t xml:space="preserve">P</t>
        </is>
      </c>
      <c r="D48" s="78">
        <f>D47+F48-G48</f>
      </c>
      <c r="E48" s="1">
        <v>46163</v>
      </c>
      <c r="F48" s="82">
        <v>250.0</v>
      </c>
      <c r="G48" s="82">
        <v>0</v>
      </c>
      <c r="H48" t="inlineStr">
        <is>
          <t xml:space="preserve">P2P</t>
        </is>
      </c>
      <c r="I48" t="inlineStr">
        <is>
          <t xml:space="preserve">C</t>
        </is>
      </c>
      <c r="J48" t="inlineStr">
        <is>
          <t xml:space="preserve">Untagged</t>
        </is>
      </c>
      <c r="K48" t="inlineStr">
        <is>
          <t xml:space="preserve">Zelle received</t>
        </is>
      </c>
      <c r="T48" s="81">
        <v>0.89375</v>
      </c>
      <c r="U48" s="1">
        <v>46163</v>
      </c>
      <c r="V48" t="inlineStr">
        <is>
          <t xml:space="preserve">Imani Jackson</t>
        </is>
      </c>
      <c r="W48" t="inlineStr">
        <is>
          <t xml:space="preserve">Citibank</t>
        </is>
      </c>
      <c r="X48" s="77" t="inlineStr">
        <is>
          <t xml:space="preserve">ZELLE-S-1117</t>
        </is>
      </c>
      <c r="Y48" t="inlineStr">
        <is>
          <t xml:space="preserve">Kevin Andre Lawson</t>
        </is>
      </c>
      <c r="Z48" t="inlineStr">
        <is>
          <t xml:space="preserve">Bank of America</t>
        </is>
      </c>
      <c r="AA48" s="77" t="inlineStr">
        <is>
          <t xml:space="preserve">4721836590214</t>
        </is>
      </c>
    </row>
    <row r="49">
      <c r="A49" t="inlineStr">
        <is>
          <t xml:space="preserve">Kevin Andre Lawson</t>
        </is>
      </c>
      <c r="B49" s="40">
        <v>4721836590214</v>
      </c>
      <c r="C49" t="inlineStr">
        <is>
          <t xml:space="preserve">P</t>
        </is>
      </c>
      <c r="D49" s="78">
        <f>D48+F49-G49</f>
      </c>
      <c r="E49" s="1">
        <v>46164</v>
      </c>
      <c r="F49" s="82">
        <v>390.15</v>
      </c>
      <c r="G49" s="82">
        <v>0</v>
      </c>
      <c r="H49" t="inlineStr">
        <is>
          <t xml:space="preserve">ACH</t>
        </is>
      </c>
      <c r="I49" t="inlineStr">
        <is>
          <t xml:space="preserve">C</t>
        </is>
      </c>
      <c r="J49" t="inlineStr">
        <is>
          <t xml:space="preserve">Untagged</t>
        </is>
      </c>
      <c r="K49" t="inlineStr">
        <is>
          <t xml:space="preserve">Payroll deposit</t>
        </is>
      </c>
      <c r="U49" s="1">
        <v>46164</v>
      </c>
      <c r="V49" t="inlineStr">
        <is>
          <t xml:space="preserve">Walmart Inc.</t>
        </is>
      </c>
      <c r="W49" t="inlineStr">
        <is>
          <t xml:space="preserve">JPMorgan Chase</t>
        </is>
      </c>
      <c r="X49" s="77" t="inlineStr">
        <is>
          <t xml:space="preserve">PAYROLL-WMT-0522</t>
        </is>
      </c>
      <c r="Y49" t="inlineStr">
        <is>
          <t xml:space="preserve">Kevin Andre Lawson</t>
        </is>
      </c>
      <c r="Z49" t="inlineStr">
        <is>
          <t xml:space="preserve">Bank of America</t>
        </is>
      </c>
      <c r="AA49" s="77" t="inlineStr">
        <is>
          <t xml:space="preserve">4721836590214</t>
        </is>
      </c>
    </row>
    <row r="50">
      <c r="A50" t="inlineStr">
        <is>
          <t xml:space="preserve">Kevin Andre Lawson</t>
        </is>
      </c>
      <c r="B50" s="40">
        <v>4721836590214</v>
      </c>
      <c r="C50" t="inlineStr">
        <is>
          <t xml:space="preserve">P</t>
        </is>
      </c>
      <c r="D50" s="78">
        <f>D49+F50-G50</f>
      </c>
      <c r="E50" s="1">
        <v>46164</v>
      </c>
      <c r="F50" s="82">
        <v>480.0</v>
      </c>
      <c r="G50" s="82">
        <v>0</v>
      </c>
      <c r="H50" t="inlineStr">
        <is>
          <t xml:space="preserve">P2P</t>
        </is>
      </c>
      <c r="I50" t="inlineStr">
        <is>
          <t xml:space="preserve">C</t>
        </is>
      </c>
      <c r="J50" t="inlineStr">
        <is>
          <t xml:space="preserve">Untagged</t>
        </is>
      </c>
      <c r="K50" t="inlineStr">
        <is>
          <t xml:space="preserve">Zelle received</t>
        </is>
      </c>
      <c r="T50" s="81">
        <v>0.5986111111111111</v>
      </c>
      <c r="U50" s="1">
        <v>46164</v>
      </c>
      <c r="V50" t="inlineStr">
        <is>
          <t xml:space="preserve">Imani Jackson</t>
        </is>
      </c>
      <c r="W50" t="inlineStr">
        <is>
          <t xml:space="preserve">Citibank</t>
        </is>
      </c>
      <c r="X50" s="77" t="inlineStr">
        <is>
          <t xml:space="preserve">ZELLE-S-1117</t>
        </is>
      </c>
      <c r="Y50" t="inlineStr">
        <is>
          <t xml:space="preserve">Kevin Andre Lawson</t>
        </is>
      </c>
      <c r="Z50" t="inlineStr">
        <is>
          <t xml:space="preserve">Bank of America</t>
        </is>
      </c>
      <c r="AA50" s="77" t="inlineStr">
        <is>
          <t xml:space="preserve">4721836590214</t>
        </is>
      </c>
      <c r="AB50" t="inlineStr">
        <is>
          <t xml:space="preserve">Money</t>
        </is>
      </c>
    </row>
    <row r="51">
      <c r="A51" t="inlineStr">
        <is>
          <t xml:space="preserve">Kevin Andre Lawson</t>
        </is>
      </c>
      <c r="B51" s="40">
        <v>4721836590214</v>
      </c>
      <c r="C51" t="inlineStr">
        <is>
          <t xml:space="preserve">P</t>
        </is>
      </c>
      <c r="D51" s="78">
        <f>D50+F51-G51</f>
      </c>
      <c r="E51" s="1">
        <v>46164</v>
      </c>
      <c r="F51" s="82">
        <v>0</v>
      </c>
      <c r="G51" s="82">
        <v>112.4</v>
      </c>
      <c r="H51" t="inlineStr">
        <is>
          <t xml:space="preserve">ACH</t>
        </is>
      </c>
      <c r="I51" t="inlineStr">
        <is>
          <t xml:space="preserve">D</t>
        </is>
      </c>
      <c r="J51" t="inlineStr">
        <is>
          <t xml:space="preserve">Untagged</t>
        </is>
      </c>
      <c r="K51" t="inlineStr">
        <is>
          <t xml:space="preserve">Auto insurance premium</t>
        </is>
      </c>
      <c r="N51" t="inlineStr">
        <is>
          <t xml:space="preserve">Orlando</t>
        </is>
      </c>
      <c r="O51" t="inlineStr">
        <is>
          <t xml:space="preserve">FL</t>
        </is>
      </c>
      <c r="P51">
        <v>32839</v>
      </c>
      <c r="U51" s="1">
        <v>46164</v>
      </c>
      <c r="V51" t="inlineStr">
        <is>
          <t xml:space="preserve">Kevin Andre Lawson</t>
        </is>
      </c>
      <c r="W51" t="inlineStr">
        <is>
          <t xml:space="preserve">Bank of America</t>
        </is>
      </c>
      <c r="X51" s="77" t="inlineStr">
        <is>
          <t xml:space="preserve">4721836590214</t>
        </is>
      </c>
      <c r="Y51" t="inlineStr">
        <is>
          <t xml:space="preserve">GEICO</t>
        </is>
      </c>
      <c r="Z51" t="inlineStr">
        <is>
          <t xml:space="preserve">Bank of America</t>
        </is>
      </c>
      <c r="AA51" s="77" t="inlineStr">
        <is>
          <t xml:space="preserve">INS-GEICO</t>
        </is>
      </c>
    </row>
    <row r="52">
      <c r="A52" t="inlineStr">
        <is>
          <t xml:space="preserve">Kevin Andre Lawson</t>
        </is>
      </c>
      <c r="B52" s="40">
        <v>4721836590214</v>
      </c>
      <c r="C52" t="inlineStr">
        <is>
          <t xml:space="preserve">P</t>
        </is>
      </c>
      <c r="D52" s="78">
        <f>D51+F52-G52</f>
      </c>
      <c r="E52" s="1">
        <v>46165</v>
      </c>
      <c r="F52" s="82">
        <v>250.0</v>
      </c>
      <c r="G52" s="82">
        <v>0</v>
      </c>
      <c r="H52" t="inlineStr">
        <is>
          <t xml:space="preserve">P2P</t>
        </is>
      </c>
      <c r="I52" t="inlineStr">
        <is>
          <t xml:space="preserve">C</t>
        </is>
      </c>
      <c r="J52" t="inlineStr">
        <is>
          <t xml:space="preserve">Untagged</t>
        </is>
      </c>
      <c r="K52" t="inlineStr">
        <is>
          <t xml:space="preserve">Zelle received</t>
        </is>
      </c>
      <c r="T52" s="81">
        <v>0.38263888888888886</v>
      </c>
      <c r="U52" s="1">
        <v>46165</v>
      </c>
      <c r="V52" t="inlineStr">
        <is>
          <t xml:space="preserve">Tyrone Bell</t>
        </is>
      </c>
      <c r="W52" t="inlineStr">
        <is>
          <t xml:space="preserve">Capital One</t>
        </is>
      </c>
      <c r="X52" s="77" t="inlineStr">
        <is>
          <t xml:space="preserve">ZELLE-S-1114</t>
        </is>
      </c>
      <c r="Y52" t="inlineStr">
        <is>
          <t xml:space="preserve">Kevin Andre Lawson</t>
        </is>
      </c>
      <c r="Z52" t="inlineStr">
        <is>
          <t xml:space="preserve">Bank of America</t>
        </is>
      </c>
      <c r="AA52" s="77" t="inlineStr">
        <is>
          <t xml:space="preserve">4721836590214</t>
        </is>
      </c>
    </row>
    <row r="53">
      <c r="A53" t="inlineStr">
        <is>
          <t xml:space="preserve">Kevin Andre Lawson</t>
        </is>
      </c>
      <c r="B53" s="40">
        <v>4721836590214</v>
      </c>
      <c r="C53" t="inlineStr">
        <is>
          <t xml:space="preserve">P</t>
        </is>
      </c>
      <c r="D53" s="78">
        <f>D52+F53-G53</f>
      </c>
      <c r="E53" s="1">
        <v>46166</v>
      </c>
      <c r="F53" s="82">
        <v>450.0</v>
      </c>
      <c r="G53" s="82">
        <v>0</v>
      </c>
      <c r="H53" t="inlineStr">
        <is>
          <t xml:space="preserve">P2P</t>
        </is>
      </c>
      <c r="I53" t="inlineStr">
        <is>
          <t xml:space="preserve">C</t>
        </is>
      </c>
      <c r="J53" t="inlineStr">
        <is>
          <t xml:space="preserve">Untagged</t>
        </is>
      </c>
      <c r="K53" t="inlineStr">
        <is>
          <t xml:space="preserve">Zelle received</t>
        </is>
      </c>
      <c r="T53" s="81">
        <v>0.4583333333333333</v>
      </c>
      <c r="U53" s="1">
        <v>46166</v>
      </c>
      <c r="V53" t="inlineStr">
        <is>
          <t xml:space="preserve">Tyrone Bell</t>
        </is>
      </c>
      <c r="W53" t="inlineStr">
        <is>
          <t xml:space="preserve">Capital One</t>
        </is>
      </c>
      <c r="X53" s="77" t="inlineStr">
        <is>
          <t xml:space="preserve">ZELLE-S-1114</t>
        </is>
      </c>
      <c r="Y53" t="inlineStr">
        <is>
          <t xml:space="preserve">Kevin Andre Lawson</t>
        </is>
      </c>
      <c r="Z53" t="inlineStr">
        <is>
          <t xml:space="preserve">Bank of America</t>
        </is>
      </c>
      <c r="AA53" s="77" t="inlineStr">
        <is>
          <t xml:space="preserve">4721836590214</t>
        </is>
      </c>
      <c r="AB53" t="inlineStr">
        <is>
          <t xml:space="preserve">Sent</t>
        </is>
      </c>
    </row>
    <row r="54">
      <c r="A54" t="inlineStr">
        <is>
          <t xml:space="preserve">Kevin Andre Lawson</t>
        </is>
      </c>
      <c r="B54" s="40">
        <v>4721836590214</v>
      </c>
      <c r="C54" t="inlineStr">
        <is>
          <t xml:space="preserve">P</t>
        </is>
      </c>
      <c r="D54" s="78">
        <f>D53+F54-G54</f>
      </c>
      <c r="E54" s="1">
        <v>46169</v>
      </c>
      <c r="F54" s="82">
        <v>300.0</v>
      </c>
      <c r="G54" s="82">
        <v>0</v>
      </c>
      <c r="H54" t="inlineStr">
        <is>
          <t xml:space="preserve">P2P</t>
        </is>
      </c>
      <c r="I54" t="inlineStr">
        <is>
          <t xml:space="preserve">C</t>
        </is>
      </c>
      <c r="J54" t="inlineStr">
        <is>
          <t xml:space="preserve">Untagged</t>
        </is>
      </c>
      <c r="K54" t="inlineStr">
        <is>
          <t xml:space="preserve">Zelle received</t>
        </is>
      </c>
      <c r="T54" s="81">
        <v>0.5</v>
      </c>
      <c r="U54" s="1">
        <v>46169</v>
      </c>
      <c r="V54" t="inlineStr">
        <is>
          <t xml:space="preserve">Brianna Scott</t>
        </is>
      </c>
      <c r="W54" t="inlineStr">
        <is>
          <t xml:space="preserve">Truist</t>
        </is>
      </c>
      <c r="X54" s="77" t="inlineStr">
        <is>
          <t xml:space="preserve">ZELLE-S-1111</t>
        </is>
      </c>
      <c r="Y54" t="inlineStr">
        <is>
          <t xml:space="preserve">Kevin Andre Lawson</t>
        </is>
      </c>
      <c r="Z54" t="inlineStr">
        <is>
          <t xml:space="preserve">Bank of America</t>
        </is>
      </c>
      <c r="AA54" s="77" t="inlineStr">
        <is>
          <t xml:space="preserve">4721836590214</t>
        </is>
      </c>
    </row>
    <row r="55">
      <c r="A55" t="inlineStr">
        <is>
          <t xml:space="preserve">Kevin Andre Lawson</t>
        </is>
      </c>
      <c r="B55" s="40">
        <v>4721836590214</v>
      </c>
      <c r="C55" t="inlineStr">
        <is>
          <t xml:space="preserve">P</t>
        </is>
      </c>
      <c r="D55" s="78">
        <f>D54+F55-G55</f>
      </c>
      <c r="E55" s="1">
        <v>46170</v>
      </c>
      <c r="F55" s="82">
        <v>400.0</v>
      </c>
      <c r="G55" s="82">
        <v>0</v>
      </c>
      <c r="H55" t="inlineStr">
        <is>
          <t xml:space="preserve">P2P</t>
        </is>
      </c>
      <c r="I55" t="inlineStr">
        <is>
          <t xml:space="preserve">C</t>
        </is>
      </c>
      <c r="J55" t="inlineStr">
        <is>
          <t xml:space="preserve">Untagged</t>
        </is>
      </c>
      <c r="K55" t="inlineStr">
        <is>
          <t xml:space="preserve">Zelle received</t>
        </is>
      </c>
      <c r="T55" s="81">
        <v>0.56875</v>
      </c>
      <c r="U55" s="1">
        <v>46170</v>
      </c>
      <c r="V55" t="inlineStr">
        <is>
          <t xml:space="preserve">Kyle Donovan</t>
        </is>
      </c>
      <c r="W55" t="inlineStr">
        <is>
          <t xml:space="preserve">Citibank</t>
        </is>
      </c>
      <c r="X55" s="77" t="inlineStr">
        <is>
          <t xml:space="preserve">ZELLE-S-1126</t>
        </is>
      </c>
      <c r="Y55" t="inlineStr">
        <is>
          <t xml:space="preserve">Kevin Andre Lawson</t>
        </is>
      </c>
      <c r="Z55" t="inlineStr">
        <is>
          <t xml:space="preserve">Bank of America</t>
        </is>
      </c>
      <c r="AA55" s="77" t="inlineStr">
        <is>
          <t xml:space="preserve">4721836590214</t>
        </is>
      </c>
      <c r="AB55" t="inlineStr">
        <is>
          <t xml:space="preserve">Help</t>
        </is>
      </c>
    </row>
    <row r="56">
      <c r="A56" t="inlineStr">
        <is>
          <t xml:space="preserve">Kevin Andre Lawson</t>
        </is>
      </c>
      <c r="B56" s="40">
        <v>4721836590214</v>
      </c>
      <c r="C56" t="inlineStr">
        <is>
          <t xml:space="preserve">P</t>
        </is>
      </c>
      <c r="D56" s="78">
        <f>D55+F56-G56</f>
      </c>
      <c r="E56" s="1">
        <v>46171</v>
      </c>
      <c r="F56" s="82">
        <v>380.75</v>
      </c>
      <c r="G56" s="82">
        <v>0</v>
      </c>
      <c r="H56" t="inlineStr">
        <is>
          <t xml:space="preserve">ACH</t>
        </is>
      </c>
      <c r="I56" t="inlineStr">
        <is>
          <t xml:space="preserve">C</t>
        </is>
      </c>
      <c r="J56" t="inlineStr">
        <is>
          <t xml:space="preserve">Untagged</t>
        </is>
      </c>
      <c r="K56" t="inlineStr">
        <is>
          <t xml:space="preserve">Payroll deposit</t>
        </is>
      </c>
      <c r="U56" s="1">
        <v>46171</v>
      </c>
      <c r="V56" t="inlineStr">
        <is>
          <t xml:space="preserve">Walmart Inc.</t>
        </is>
      </c>
      <c r="W56" t="inlineStr">
        <is>
          <t xml:space="preserve">JPMorgan Chase</t>
        </is>
      </c>
      <c r="X56" s="77" t="inlineStr">
        <is>
          <t xml:space="preserve">PAYROLL-WMT-0529</t>
        </is>
      </c>
      <c r="Y56" t="inlineStr">
        <is>
          <t xml:space="preserve">Kevin Andre Lawson</t>
        </is>
      </c>
      <c r="Z56" t="inlineStr">
        <is>
          <t xml:space="preserve">Bank of America</t>
        </is>
      </c>
      <c r="AA56" s="77" t="inlineStr">
        <is>
          <t xml:space="preserve">4721836590214</t>
        </is>
      </c>
    </row>
    <row r="57">
      <c r="A57" t="inlineStr">
        <is>
          <t xml:space="preserve">Kevin Andre Lawson</t>
        </is>
      </c>
      <c r="B57" s="40">
        <v>4721836590214</v>
      </c>
      <c r="C57" t="inlineStr">
        <is>
          <t xml:space="preserve">P</t>
        </is>
      </c>
      <c r="D57" s="78">
        <f>D56+F57-G57</f>
      </c>
      <c r="E57" s="1">
        <v>46171</v>
      </c>
      <c r="F57" s="82">
        <v>0</v>
      </c>
      <c r="G57" s="82">
        <v>3700.0</v>
      </c>
      <c r="H57" t="inlineStr">
        <is>
          <t xml:space="preserve">Wire</t>
        </is>
      </c>
      <c r="I57" t="inlineStr">
        <is>
          <t xml:space="preserve">D</t>
        </is>
      </c>
      <c r="J57" t="inlineStr">
        <is>
          <t xml:space="preserve">Untagged</t>
        </is>
      </c>
      <c r="K57" t="inlineStr">
        <is>
          <t xml:space="preserve">International wire out - Panama</t>
        </is>
      </c>
      <c r="N57" t="inlineStr">
        <is>
          <t xml:space="preserve">Orlando</t>
        </is>
      </c>
      <c r="O57" t="inlineStr">
        <is>
          <t xml:space="preserve">FL</t>
        </is>
      </c>
      <c r="P57">
        <v>32839</v>
      </c>
      <c r="Q57" t="inlineStr">
        <is>
          <t xml:space="preserve">FL-ORL-03</t>
        </is>
      </c>
      <c r="R57" t="inlineStr">
        <is>
          <t xml:space="preserve">TELLER03</t>
        </is>
      </c>
      <c r="T57" s="81">
        <v>0.6305555555555555</v>
      </c>
      <c r="U57" s="1">
        <v>46171</v>
      </c>
      <c r="V57" t="inlineStr">
        <is>
          <t xml:space="preserve">Kevin Andre Lawson</t>
        </is>
      </c>
      <c r="W57" t="inlineStr">
        <is>
          <t xml:space="preserve">Bank of America</t>
        </is>
      </c>
      <c r="X57" s="77" t="inlineStr">
        <is>
          <t xml:space="preserve">4721836590214</t>
        </is>
      </c>
      <c r="Y57" t="inlineStr">
        <is>
          <t xml:space="preserve">Istmo Meridian Trading Corp.</t>
        </is>
      </c>
      <c r="Z57" t="inlineStr">
        <is>
          <t xml:space="preserve">Banco Atlantico de Panama, S.A.</t>
        </is>
      </c>
      <c r="AA57" s="77" t="inlineStr">
        <is>
          <t xml:space="preserve">PA-0417-2290-5531</t>
        </is>
      </c>
      <c r="AB57" t="inlineStr">
        <is>
          <t xml:space="preserve">Invoice</t>
        </is>
      </c>
    </row>
    <row r="58">
      <c r="A58" t="inlineStr">
        <is>
          <t xml:space="preserve">Kevin Andre Lawson</t>
        </is>
      </c>
      <c r="B58" s="40">
        <v>4721836590214</v>
      </c>
      <c r="C58" t="inlineStr">
        <is>
          <t xml:space="preserve">P</t>
        </is>
      </c>
      <c r="D58" s="78">
        <f>D57+F58-G58</f>
      </c>
      <c r="E58" s="1">
        <v>46171</v>
      </c>
      <c r="F58" s="82">
        <v>0</v>
      </c>
      <c r="G58" s="82">
        <v>45.0</v>
      </c>
      <c r="H58" t="inlineStr">
        <is>
          <t xml:space="preserve">Fee</t>
        </is>
      </c>
      <c r="I58" t="inlineStr">
        <is>
          <t xml:space="preserve">D</t>
        </is>
      </c>
      <c r="J58" t="inlineStr">
        <is>
          <t xml:space="preserve">Untagged</t>
        </is>
      </c>
      <c r="K58" t="inlineStr">
        <is>
          <t xml:space="preserve">International wire transfer fee</t>
        </is>
      </c>
      <c r="U58" s="1">
        <v>46171</v>
      </c>
      <c r="V58" t="inlineStr">
        <is>
          <t xml:space="preserve">Kevin Andre Lawson</t>
        </is>
      </c>
      <c r="W58" t="inlineStr">
        <is>
          <t xml:space="preserve">Bank of America</t>
        </is>
      </c>
      <c r="X58" s="77" t="inlineStr">
        <is>
          <t xml:space="preserve">4721836590214</t>
        </is>
      </c>
      <c r="Y58" t="inlineStr">
        <is>
          <t xml:space="preserve">Bank of America</t>
        </is>
      </c>
      <c r="AA58" s="77" t="inlineStr">
        <is>
          <t xml:space="preserve">FEE-INTLWIRE</t>
        </is>
      </c>
    </row>
    <row r="59">
      <c r="A59" t="inlineStr">
        <is>
          <t xml:space="preserve">Kevin Andre Lawson</t>
        </is>
      </c>
      <c r="B59" s="40">
        <v>4721836590214</v>
      </c>
      <c r="C59" t="inlineStr">
        <is>
          <t xml:space="preserve">P</t>
        </is>
      </c>
      <c r="D59" s="78">
        <f>D58+F59-G59</f>
      </c>
      <c r="E59" s="1">
        <v>46174</v>
      </c>
      <c r="F59" s="82">
        <v>0</v>
      </c>
      <c r="G59" s="82">
        <v>650.0</v>
      </c>
      <c r="H59" t="inlineStr">
        <is>
          <t xml:space="preserve">ACH</t>
        </is>
      </c>
      <c r="I59" t="inlineStr">
        <is>
          <t xml:space="preserve">D</t>
        </is>
      </c>
      <c r="J59" t="inlineStr">
        <is>
          <t xml:space="preserve">Untagged</t>
        </is>
      </c>
      <c r="K59" t="inlineStr">
        <is>
          <t xml:space="preserve">Monthly rent</t>
        </is>
      </c>
      <c r="N59" t="inlineStr">
        <is>
          <t xml:space="preserve">Orlando</t>
        </is>
      </c>
      <c r="O59" t="inlineStr">
        <is>
          <t xml:space="preserve">FL</t>
        </is>
      </c>
      <c r="P59">
        <v>32839</v>
      </c>
      <c r="U59" s="1">
        <v>46174</v>
      </c>
      <c r="V59" t="inlineStr">
        <is>
          <t xml:space="preserve">Kevin Andre Lawson</t>
        </is>
      </c>
      <c r="W59" t="inlineStr">
        <is>
          <t xml:space="preserve">Bank of America</t>
        </is>
      </c>
      <c r="X59" s="77" t="inlineStr">
        <is>
          <t xml:space="preserve">4721836590214</t>
        </is>
      </c>
      <c r="Y59" t="inlineStr">
        <is>
          <t xml:space="preserve">Palm Haven Apartments</t>
        </is>
      </c>
      <c r="Z59" t="inlineStr">
        <is>
          <t xml:space="preserve">Truist</t>
        </is>
      </c>
      <c r="AA59" s="77" t="inlineStr">
        <is>
          <t xml:space="preserve">RENT-2715-4B</t>
        </is>
      </c>
    </row>
    <row r="60">
      <c r="A60" t="inlineStr">
        <is>
          <t xml:space="preserve">Kevin Andre Lawson</t>
        </is>
      </c>
      <c r="B60" s="40">
        <v>4721836590214</v>
      </c>
      <c r="C60" t="inlineStr">
        <is>
          <t xml:space="preserve">P</t>
        </is>
      </c>
      <c r="D60" s="78">
        <f>D59+F60-G60</f>
      </c>
      <c r="E60" s="1">
        <v>46175</v>
      </c>
      <c r="F60" s="82">
        <v>350.0</v>
      </c>
      <c r="G60" s="82">
        <v>0</v>
      </c>
      <c r="H60" t="inlineStr">
        <is>
          <t xml:space="preserve">P2P</t>
        </is>
      </c>
      <c r="I60" t="inlineStr">
        <is>
          <t xml:space="preserve">C</t>
        </is>
      </c>
      <c r="J60" t="inlineStr">
        <is>
          <t xml:space="preserve">Untagged</t>
        </is>
      </c>
      <c r="K60" t="inlineStr">
        <is>
          <t xml:space="preserve">Zelle received</t>
        </is>
      </c>
      <c r="T60" s="81">
        <v>0.3958333333333333</v>
      </c>
      <c r="U60" s="1">
        <v>46175</v>
      </c>
      <c r="V60" t="inlineStr">
        <is>
          <t xml:space="preserve">Latoya Rivers</t>
        </is>
      </c>
      <c r="W60" t="inlineStr">
        <is>
          <t xml:space="preserve">PNC Bank</t>
        </is>
      </c>
      <c r="X60" s="77" t="inlineStr">
        <is>
          <t xml:space="preserve">ZELLE-S-1125</t>
        </is>
      </c>
      <c r="Y60" t="inlineStr">
        <is>
          <t xml:space="preserve">Kevin Andre Lawson</t>
        </is>
      </c>
      <c r="Z60" t="inlineStr">
        <is>
          <t xml:space="preserve">Bank of America</t>
        </is>
      </c>
      <c r="AA60" s="77" t="inlineStr">
        <is>
          <t xml:space="preserve">4721836590214</t>
        </is>
      </c>
      <c r="AB60" t="inlineStr">
        <is>
          <t xml:space="preserve">Money</t>
        </is>
      </c>
    </row>
    <row r="61">
      <c r="A61" t="inlineStr">
        <is>
          <t xml:space="preserve">Kevin Andre Lawson</t>
        </is>
      </c>
      <c r="B61" s="40">
        <v>4721836590214</v>
      </c>
      <c r="C61" t="inlineStr">
        <is>
          <t xml:space="preserve">P</t>
        </is>
      </c>
      <c r="D61" s="78">
        <f>D60+F61-G61</f>
      </c>
      <c r="E61" s="1">
        <v>46176</v>
      </c>
      <c r="F61" s="82">
        <v>0</v>
      </c>
      <c r="G61" s="82">
        <v>51.72</v>
      </c>
      <c r="H61" t="inlineStr">
        <is>
          <t xml:space="preserve">Debit Card</t>
        </is>
      </c>
      <c r="I61" t="inlineStr">
        <is>
          <t xml:space="preserve">D</t>
        </is>
      </c>
      <c r="J61" t="inlineStr">
        <is>
          <t xml:space="preserve">Untagged</t>
        </is>
      </c>
      <c r="K61" t="inlineStr">
        <is>
          <t xml:space="preserve">Aldi</t>
        </is>
      </c>
      <c r="L61" t="inlineStr">
        <is>
          <t xml:space="preserve">4128 5530 9187 2264</t>
        </is>
      </c>
      <c r="N61" t="inlineStr">
        <is>
          <t xml:space="preserve">Orlando</t>
        </is>
      </c>
      <c r="O61" t="inlineStr">
        <is>
          <t xml:space="preserve">FL</t>
        </is>
      </c>
      <c r="P61">
        <v>32839</v>
      </c>
      <c r="S61" t="inlineStr">
        <is>
          <t xml:space="preserve">POS-ORL-1117</t>
        </is>
      </c>
      <c r="T61" s="81">
        <v>0.4284722222222222</v>
      </c>
      <c r="U61" s="1">
        <v>46177</v>
      </c>
      <c r="V61" t="inlineStr">
        <is>
          <t xml:space="preserve">Kevin Andre Lawson</t>
        </is>
      </c>
      <c r="W61" t="inlineStr">
        <is>
          <t xml:space="preserve">Bank of America</t>
        </is>
      </c>
      <c r="X61" s="77" t="inlineStr">
        <is>
          <t xml:space="preserve">4721836590214</t>
        </is>
      </c>
      <c r="Y61" t="inlineStr">
        <is>
          <t xml:space="preserve">Aldi</t>
        </is>
      </c>
    </row>
    <row r="62">
      <c r="A62" t="inlineStr">
        <is>
          <t xml:space="preserve">Kevin Andre Lawson</t>
        </is>
      </c>
      <c r="B62" s="40">
        <v>4721836590214</v>
      </c>
      <c r="C62" t="inlineStr">
        <is>
          <t xml:space="preserve">P</t>
        </is>
      </c>
      <c r="D62" s="78">
        <f>D61+F62-G62</f>
      </c>
      <c r="E62" s="1">
        <v>46176</v>
      </c>
      <c r="F62" s="82">
        <v>0</v>
      </c>
      <c r="G62" s="82">
        <v>42.77</v>
      </c>
      <c r="H62" t="inlineStr">
        <is>
          <t xml:space="preserve">Debit Card</t>
        </is>
      </c>
      <c r="I62" t="inlineStr">
        <is>
          <t xml:space="preserve">D</t>
        </is>
      </c>
      <c r="J62" t="inlineStr">
        <is>
          <t xml:space="preserve">Untagged</t>
        </is>
      </c>
      <c r="K62" t="inlineStr">
        <is>
          <t xml:space="preserve">Shell fuel</t>
        </is>
      </c>
      <c r="L62" t="inlineStr">
        <is>
          <t xml:space="preserve">4128 5530 9187 2264</t>
        </is>
      </c>
      <c r="N62" t="inlineStr">
        <is>
          <t xml:space="preserve">Orlando</t>
        </is>
      </c>
      <c r="O62" t="inlineStr">
        <is>
          <t xml:space="preserve">FL</t>
        </is>
      </c>
      <c r="P62">
        <v>32839</v>
      </c>
      <c r="S62" t="inlineStr">
        <is>
          <t xml:space="preserve">POS-ORL-2268</t>
        </is>
      </c>
      <c r="T62" s="81">
        <v>0.3402777777777778</v>
      </c>
      <c r="U62" s="1">
        <v>46177</v>
      </c>
      <c r="V62" t="inlineStr">
        <is>
          <t xml:space="preserve">Kevin Andre Lawson</t>
        </is>
      </c>
      <c r="W62" t="inlineStr">
        <is>
          <t xml:space="preserve">Bank of America</t>
        </is>
      </c>
      <c r="X62" s="77" t="inlineStr">
        <is>
          <t xml:space="preserve">4721836590214</t>
        </is>
      </c>
      <c r="Y62" t="inlineStr">
        <is>
          <t xml:space="preserve">Shell</t>
        </is>
      </c>
    </row>
    <row r="63">
      <c r="A63" t="inlineStr">
        <is>
          <t xml:space="preserve">Kevin Andre Lawson</t>
        </is>
      </c>
      <c r="B63" s="40">
        <v>4721836590214</v>
      </c>
      <c r="C63" t="inlineStr">
        <is>
          <t xml:space="preserve">P</t>
        </is>
      </c>
      <c r="D63" s="78">
        <f>D62+F63-G63</f>
      </c>
      <c r="E63" s="1">
        <v>46177</v>
      </c>
      <c r="F63" s="82">
        <v>0</v>
      </c>
      <c r="G63" s="82">
        <v>46.69</v>
      </c>
      <c r="H63" t="inlineStr">
        <is>
          <t xml:space="preserve">Debit Card</t>
        </is>
      </c>
      <c r="I63" t="inlineStr">
        <is>
          <t xml:space="preserve">D</t>
        </is>
      </c>
      <c r="J63" t="inlineStr">
        <is>
          <t xml:space="preserve">Untagged</t>
        </is>
      </c>
      <c r="K63" t="inlineStr">
        <is>
          <t xml:space="preserve">Aldi</t>
        </is>
      </c>
      <c r="L63" t="inlineStr">
        <is>
          <t xml:space="preserve">4128 5530 9187 2264</t>
        </is>
      </c>
      <c r="N63" t="inlineStr">
        <is>
          <t xml:space="preserve">Orlando</t>
        </is>
      </c>
      <c r="O63" t="inlineStr">
        <is>
          <t xml:space="preserve">FL</t>
        </is>
      </c>
      <c r="P63">
        <v>32839</v>
      </c>
      <c r="S63" t="inlineStr">
        <is>
          <t xml:space="preserve">POS-ORL-1722</t>
        </is>
      </c>
      <c r="T63" s="81">
        <v>0.5451388888888888</v>
      </c>
      <c r="U63" s="1">
        <v>46178</v>
      </c>
      <c r="V63" t="inlineStr">
        <is>
          <t xml:space="preserve">Kevin Andre Lawson</t>
        </is>
      </c>
      <c r="W63" t="inlineStr">
        <is>
          <t xml:space="preserve">Bank of America</t>
        </is>
      </c>
      <c r="X63" s="77" t="inlineStr">
        <is>
          <t xml:space="preserve">4721836590214</t>
        </is>
      </c>
      <c r="Y63" t="inlineStr">
        <is>
          <t xml:space="preserve">Aldi</t>
        </is>
      </c>
    </row>
    <row r="64">
      <c r="A64" t="inlineStr">
        <is>
          <t xml:space="preserve">Kevin Andre Lawson</t>
        </is>
      </c>
      <c r="B64" s="40">
        <v>4721836590214</v>
      </c>
      <c r="C64" t="inlineStr">
        <is>
          <t xml:space="preserve">P</t>
        </is>
      </c>
      <c r="D64" s="78">
        <f>D63+F64-G64</f>
      </c>
      <c r="E64" s="1">
        <v>46178</v>
      </c>
      <c r="F64" s="82">
        <v>388.67</v>
      </c>
      <c r="G64" s="82">
        <v>0</v>
      </c>
      <c r="H64" t="inlineStr">
        <is>
          <t xml:space="preserve">ACH</t>
        </is>
      </c>
      <c r="I64" t="inlineStr">
        <is>
          <t xml:space="preserve">C</t>
        </is>
      </c>
      <c r="J64" t="inlineStr">
        <is>
          <t xml:space="preserve">Untagged</t>
        </is>
      </c>
      <c r="K64" t="inlineStr">
        <is>
          <t xml:space="preserve">Payroll deposit</t>
        </is>
      </c>
      <c r="U64" s="1">
        <v>46178</v>
      </c>
      <c r="V64" t="inlineStr">
        <is>
          <t xml:space="preserve">Walmart Inc.</t>
        </is>
      </c>
      <c r="W64" t="inlineStr">
        <is>
          <t xml:space="preserve">JPMorgan Chase</t>
        </is>
      </c>
      <c r="X64" s="77" t="inlineStr">
        <is>
          <t xml:space="preserve">PAYROLL-WMT-0605</t>
        </is>
      </c>
      <c r="Y64" t="inlineStr">
        <is>
          <t xml:space="preserve">Kevin Andre Lawson</t>
        </is>
      </c>
      <c r="Z64" t="inlineStr">
        <is>
          <t xml:space="preserve">Bank of America</t>
        </is>
      </c>
      <c r="AA64" s="77" t="inlineStr">
        <is>
          <t xml:space="preserve">4721836590214</t>
        </is>
      </c>
    </row>
    <row r="65">
      <c r="A65" t="inlineStr">
        <is>
          <t xml:space="preserve">Kevin Andre Lawson</t>
        </is>
      </c>
      <c r="B65" s="40">
        <v>4721836590214</v>
      </c>
      <c r="C65" t="inlineStr">
        <is>
          <t xml:space="preserve">P</t>
        </is>
      </c>
      <c r="D65" s="78">
        <f>D64+F65-G65</f>
      </c>
      <c r="E65" s="1">
        <v>46178</v>
      </c>
      <c r="F65" s="82">
        <v>275.0</v>
      </c>
      <c r="G65" s="82">
        <v>0</v>
      </c>
      <c r="H65" t="inlineStr">
        <is>
          <t xml:space="preserve">P2P</t>
        </is>
      </c>
      <c r="I65" t="inlineStr">
        <is>
          <t xml:space="preserve">C</t>
        </is>
      </c>
      <c r="J65" t="inlineStr">
        <is>
          <t xml:space="preserve">Untagged</t>
        </is>
      </c>
      <c r="K65" t="inlineStr">
        <is>
          <t xml:space="preserve">Zelle received</t>
        </is>
      </c>
      <c r="T65" s="81">
        <v>0.3840277777777778</v>
      </c>
      <c r="U65" s="1">
        <v>46178</v>
      </c>
      <c r="V65" t="inlineStr">
        <is>
          <t xml:space="preserve">Kayla Simmons</t>
        </is>
      </c>
      <c r="W65" t="inlineStr">
        <is>
          <t xml:space="preserve">Truist</t>
        </is>
      </c>
      <c r="X65" s="77" t="inlineStr">
        <is>
          <t xml:space="preserve">ZELLE-S-1103</t>
        </is>
      </c>
      <c r="Y65" t="inlineStr">
        <is>
          <t xml:space="preserve">Kevin Andre Lawson</t>
        </is>
      </c>
      <c r="Z65" t="inlineStr">
        <is>
          <t xml:space="preserve">Bank of America</t>
        </is>
      </c>
      <c r="AA65" s="77" t="inlineStr">
        <is>
          <t xml:space="preserve">4721836590214</t>
        </is>
      </c>
      <c r="AB65" t="inlineStr">
        <is>
          <t xml:space="preserve">Sent</t>
        </is>
      </c>
    </row>
    <row r="66">
      <c r="A66" t="inlineStr">
        <is>
          <t xml:space="preserve">Kevin Andre Lawson</t>
        </is>
      </c>
      <c r="B66" s="40">
        <v>4721836590214</v>
      </c>
      <c r="C66" t="inlineStr">
        <is>
          <t xml:space="preserve">P</t>
        </is>
      </c>
      <c r="D66" s="78">
        <f>D65+F66-G66</f>
      </c>
      <c r="E66" s="1">
        <v>46179</v>
      </c>
      <c r="F66" s="82">
        <v>0</v>
      </c>
      <c r="G66" s="82">
        <v>33.26</v>
      </c>
      <c r="H66" t="inlineStr">
        <is>
          <t xml:space="preserve">Debit Card</t>
        </is>
      </c>
      <c r="I66" t="inlineStr">
        <is>
          <t xml:space="preserve">D</t>
        </is>
      </c>
      <c r="J66" t="inlineStr">
        <is>
          <t xml:space="preserve">Untagged</t>
        </is>
      </c>
      <c r="K66" t="inlineStr">
        <is>
          <t xml:space="preserve">Wawa fuel</t>
        </is>
      </c>
      <c r="L66" t="inlineStr">
        <is>
          <t xml:space="preserve">4128 5530 9187 2264</t>
        </is>
      </c>
      <c r="N66" t="inlineStr">
        <is>
          <t xml:space="preserve">Orlando</t>
        </is>
      </c>
      <c r="O66" t="inlineStr">
        <is>
          <t xml:space="preserve">FL</t>
        </is>
      </c>
      <c r="P66">
        <v>32839</v>
      </c>
      <c r="S66" t="inlineStr">
        <is>
          <t xml:space="preserve">POS-ORL-2312</t>
        </is>
      </c>
      <c r="T66" s="81">
        <v>0.4861111111111111</v>
      </c>
      <c r="U66" s="1">
        <v>46180</v>
      </c>
      <c r="V66" t="inlineStr">
        <is>
          <t xml:space="preserve">Kevin Andre Lawson</t>
        </is>
      </c>
      <c r="W66" t="inlineStr">
        <is>
          <t xml:space="preserve">Bank of America</t>
        </is>
      </c>
      <c r="X66" s="77" t="inlineStr">
        <is>
          <t xml:space="preserve">4721836590214</t>
        </is>
      </c>
      <c r="Y66" t="inlineStr">
        <is>
          <t xml:space="preserve">Wawa</t>
        </is>
      </c>
    </row>
    <row r="67">
      <c r="A67" t="inlineStr">
        <is>
          <t xml:space="preserve">Kevin Andre Lawson</t>
        </is>
      </c>
      <c r="B67" s="40">
        <v>4721836590214</v>
      </c>
      <c r="C67" t="inlineStr">
        <is>
          <t xml:space="preserve">P</t>
        </is>
      </c>
      <c r="D67" s="78">
        <f>D66+F67-G67</f>
      </c>
      <c r="E67" s="1">
        <v>46183</v>
      </c>
      <c r="F67" s="82">
        <v>0</v>
      </c>
      <c r="G67" s="82">
        <v>45.53</v>
      </c>
      <c r="H67" t="inlineStr">
        <is>
          <t xml:space="preserve">Debit Card</t>
        </is>
      </c>
      <c r="I67" t="inlineStr">
        <is>
          <t xml:space="preserve">D</t>
        </is>
      </c>
      <c r="J67" t="inlineStr">
        <is>
          <t xml:space="preserve">Untagged</t>
        </is>
      </c>
      <c r="K67" t="inlineStr">
        <is>
          <t xml:space="preserve">Publix Super Market</t>
        </is>
      </c>
      <c r="L67" t="inlineStr">
        <is>
          <t xml:space="preserve">4128 5530 9187 2264</t>
        </is>
      </c>
      <c r="N67" t="inlineStr">
        <is>
          <t xml:space="preserve">Orlando</t>
        </is>
      </c>
      <c r="O67" t="inlineStr">
        <is>
          <t xml:space="preserve">FL</t>
        </is>
      </c>
      <c r="P67">
        <v>32839</v>
      </c>
      <c r="S67" t="inlineStr">
        <is>
          <t xml:space="preserve">POS-ORL-1111</t>
        </is>
      </c>
      <c r="T67" s="81">
        <v>0.43680555555555556</v>
      </c>
      <c r="U67" s="1">
        <v>46184</v>
      </c>
      <c r="V67" t="inlineStr">
        <is>
          <t xml:space="preserve">Kevin Andre Lawson</t>
        </is>
      </c>
      <c r="W67" t="inlineStr">
        <is>
          <t xml:space="preserve">Bank of America</t>
        </is>
      </c>
      <c r="X67" s="77" t="inlineStr">
        <is>
          <t xml:space="preserve">4721836590214</t>
        </is>
      </c>
      <c r="Y67" t="inlineStr">
        <is>
          <t xml:space="preserve">Publix Super Market</t>
        </is>
      </c>
    </row>
    <row r="68">
      <c r="A68" t="inlineStr">
        <is>
          <t xml:space="preserve">Kevin Andre Lawson</t>
        </is>
      </c>
      <c r="B68" s="40">
        <v>4721836590214</v>
      </c>
      <c r="C68" t="inlineStr">
        <is>
          <t xml:space="preserve">P</t>
        </is>
      </c>
      <c r="D68" s="78">
        <f>D67+F68-G68</f>
      </c>
      <c r="E68" s="1">
        <v>46185</v>
      </c>
      <c r="F68" s="82">
        <v>381.4</v>
      </c>
      <c r="G68" s="82">
        <v>0</v>
      </c>
      <c r="H68" t="inlineStr">
        <is>
          <t xml:space="preserve">ACH</t>
        </is>
      </c>
      <c r="I68" t="inlineStr">
        <is>
          <t xml:space="preserve">C</t>
        </is>
      </c>
      <c r="J68" t="inlineStr">
        <is>
          <t xml:space="preserve">Untagged</t>
        </is>
      </c>
      <c r="K68" t="inlineStr">
        <is>
          <t xml:space="preserve">Payroll deposit</t>
        </is>
      </c>
      <c r="U68" s="1">
        <v>46185</v>
      </c>
      <c r="V68" t="inlineStr">
        <is>
          <t xml:space="preserve">Walmart Inc.</t>
        </is>
      </c>
      <c r="W68" t="inlineStr">
        <is>
          <t xml:space="preserve">JPMorgan Chase</t>
        </is>
      </c>
      <c r="X68" s="77" t="inlineStr">
        <is>
          <t xml:space="preserve">PAYROLL-WMT-0612</t>
        </is>
      </c>
      <c r="Y68" t="inlineStr">
        <is>
          <t xml:space="preserve">Kevin Andre Lawson</t>
        </is>
      </c>
      <c r="Z68" t="inlineStr">
        <is>
          <t xml:space="preserve">Bank of America</t>
        </is>
      </c>
      <c r="AA68" s="77" t="inlineStr">
        <is>
          <t xml:space="preserve">4721836590214</t>
        </is>
      </c>
    </row>
    <row r="69">
      <c r="A69" t="inlineStr">
        <is>
          <t xml:space="preserve">Kevin Andre Lawson</t>
        </is>
      </c>
      <c r="B69" s="40">
        <v>4721836590214</v>
      </c>
      <c r="C69" t="inlineStr">
        <is>
          <t xml:space="preserve">P</t>
        </is>
      </c>
      <c r="D69" s="78">
        <f>D68+F69-G69</f>
      </c>
      <c r="E69" s="1">
        <v>46185</v>
      </c>
      <c r="F69" s="82">
        <v>0</v>
      </c>
      <c r="G69" s="82">
        <v>113.11</v>
      </c>
      <c r="H69" t="inlineStr">
        <is>
          <t xml:space="preserve">ACH</t>
        </is>
      </c>
      <c r="I69" t="inlineStr">
        <is>
          <t xml:space="preserve">D</t>
        </is>
      </c>
      <c r="J69" t="inlineStr">
        <is>
          <t xml:space="preserve">Untagged</t>
        </is>
      </c>
      <c r="K69" t="inlineStr">
        <is>
          <t xml:space="preserve">Electric &amp; water utility</t>
        </is>
      </c>
      <c r="N69" t="inlineStr">
        <is>
          <t xml:space="preserve">Orlando</t>
        </is>
      </c>
      <c r="O69" t="inlineStr">
        <is>
          <t xml:space="preserve">FL</t>
        </is>
      </c>
      <c r="P69">
        <v>32839</v>
      </c>
      <c r="U69" s="1">
        <v>46185</v>
      </c>
      <c r="V69" t="inlineStr">
        <is>
          <t xml:space="preserve">Kevin Andre Lawson</t>
        </is>
      </c>
      <c r="W69" t="inlineStr">
        <is>
          <t xml:space="preserve">Bank of America</t>
        </is>
      </c>
      <c r="X69" s="77" t="inlineStr">
        <is>
          <t xml:space="preserve">4721836590214</t>
        </is>
      </c>
      <c r="Y69" t="inlineStr">
        <is>
          <t xml:space="preserve">Orlando Utilities Commission</t>
        </is>
      </c>
      <c r="Z69" t="inlineStr">
        <is>
          <t xml:space="preserve">Wells Fargo</t>
        </is>
      </c>
      <c r="AA69" s="77" t="inlineStr">
        <is>
          <t xml:space="preserve">UTIL-OUC</t>
        </is>
      </c>
    </row>
    <row r="70">
      <c r="A70" t="inlineStr">
        <is>
          <t xml:space="preserve">Kevin Andre Lawson</t>
        </is>
      </c>
      <c r="B70" s="40">
        <v>4721836590214</v>
      </c>
      <c r="C70" t="inlineStr">
        <is>
          <t xml:space="preserve">P</t>
        </is>
      </c>
      <c r="D70" s="78">
        <f>D69+F70-G70</f>
      </c>
      <c r="E70" s="1">
        <v>46185</v>
      </c>
      <c r="F70" s="82">
        <v>0</v>
      </c>
      <c r="G70" s="82">
        <v>94.7</v>
      </c>
      <c r="H70" t="inlineStr">
        <is>
          <t xml:space="preserve">Debit Card</t>
        </is>
      </c>
      <c r="I70" t="inlineStr">
        <is>
          <t xml:space="preserve">D</t>
        </is>
      </c>
      <c r="J70" t="inlineStr">
        <is>
          <t xml:space="preserve">Untagged</t>
        </is>
      </c>
      <c r="K70" t="inlineStr">
        <is>
          <t xml:space="preserve">Walmart Supercenter</t>
        </is>
      </c>
      <c r="L70" t="inlineStr">
        <is>
          <t xml:space="preserve">4128 5530 9187 2264</t>
        </is>
      </c>
      <c r="N70" t="inlineStr">
        <is>
          <t xml:space="preserve">Orlando</t>
        </is>
      </c>
      <c r="O70" t="inlineStr">
        <is>
          <t xml:space="preserve">FL</t>
        </is>
      </c>
      <c r="P70">
        <v>32839</v>
      </c>
      <c r="S70" t="inlineStr">
        <is>
          <t xml:space="preserve">POS-ORL-1374</t>
        </is>
      </c>
      <c r="T70" s="81">
        <v>0.6659722222222222</v>
      </c>
      <c r="U70" s="1">
        <v>46186</v>
      </c>
      <c r="V70" t="inlineStr">
        <is>
          <t xml:space="preserve">Kevin Andre Lawson</t>
        </is>
      </c>
      <c r="W70" t="inlineStr">
        <is>
          <t xml:space="preserve">Bank of America</t>
        </is>
      </c>
      <c r="X70" s="77" t="inlineStr">
        <is>
          <t xml:space="preserve">4721836590214</t>
        </is>
      </c>
      <c r="Y70" t="inlineStr">
        <is>
          <t xml:space="preserve">Walmart Supercenter</t>
        </is>
      </c>
    </row>
    <row r="71">
      <c r="A71" t="inlineStr">
        <is>
          <t xml:space="preserve">Kevin Andre Lawson</t>
        </is>
      </c>
      <c r="B71" s="40">
        <v>4721836590214</v>
      </c>
      <c r="C71" t="inlineStr">
        <is>
          <t xml:space="preserve">P</t>
        </is>
      </c>
      <c r="D71" s="78">
        <f>D70+F71-G71</f>
      </c>
      <c r="E71" s="1">
        <v>46186</v>
      </c>
      <c r="F71" s="82">
        <v>225.0</v>
      </c>
      <c r="G71" s="82">
        <v>0</v>
      </c>
      <c r="H71" t="inlineStr">
        <is>
          <t xml:space="preserve">P2P</t>
        </is>
      </c>
      <c r="I71" t="inlineStr">
        <is>
          <t xml:space="preserve">C</t>
        </is>
      </c>
      <c r="J71" t="inlineStr">
        <is>
          <t xml:space="preserve">Untagged</t>
        </is>
      </c>
      <c r="K71" t="inlineStr">
        <is>
          <t xml:space="preserve">Zelle received</t>
        </is>
      </c>
      <c r="T71" s="81">
        <v>0.5680555555555555</v>
      </c>
      <c r="U71" s="1">
        <v>46186</v>
      </c>
      <c r="V71" t="inlineStr">
        <is>
          <t xml:space="preserve">Victor Morales</t>
        </is>
      </c>
      <c r="W71" t="inlineStr">
        <is>
          <t xml:space="preserve">Wells Fargo</t>
        </is>
      </c>
      <c r="X71" s="77" t="inlineStr">
        <is>
          <t xml:space="preserve">ZELLE-S-1110</t>
        </is>
      </c>
      <c r="Y71" t="inlineStr">
        <is>
          <t xml:space="preserve">Kevin Andre Lawson</t>
        </is>
      </c>
      <c r="Z71" t="inlineStr">
        <is>
          <t xml:space="preserve">Bank of America</t>
        </is>
      </c>
      <c r="AA71" s="77" t="inlineStr">
        <is>
          <t xml:space="preserve">4721836590214</t>
        </is>
      </c>
    </row>
    <row r="72">
      <c r="A72" t="inlineStr">
        <is>
          <t xml:space="preserve">Kevin Andre Lawson</t>
        </is>
      </c>
      <c r="B72" s="40">
        <v>4721836590214</v>
      </c>
      <c r="C72" t="inlineStr">
        <is>
          <t xml:space="preserve">P</t>
        </is>
      </c>
      <c r="D72" s="78">
        <f>D71+F72-G72</f>
      </c>
      <c r="E72" s="1">
        <v>46188</v>
      </c>
      <c r="F72" s="82">
        <v>200.0</v>
      </c>
      <c r="G72" s="82">
        <v>0</v>
      </c>
      <c r="H72" t="inlineStr">
        <is>
          <t xml:space="preserve">P2P</t>
        </is>
      </c>
      <c r="I72" t="inlineStr">
        <is>
          <t xml:space="preserve">C</t>
        </is>
      </c>
      <c r="J72" t="inlineStr">
        <is>
          <t xml:space="preserve">Untagged</t>
        </is>
      </c>
      <c r="K72" t="inlineStr">
        <is>
          <t xml:space="preserve">Zelle received</t>
        </is>
      </c>
      <c r="T72" s="81">
        <v>0.7145833333333333</v>
      </c>
      <c r="U72" s="1">
        <v>46188</v>
      </c>
      <c r="V72" t="inlineStr">
        <is>
          <t xml:space="preserve">Ethan Brooks</t>
        </is>
      </c>
      <c r="W72" t="inlineStr">
        <is>
          <t xml:space="preserve">PNC Bank</t>
        </is>
      </c>
      <c r="X72" s="77" t="inlineStr">
        <is>
          <t xml:space="preserve">ZELLE-S-1106</t>
        </is>
      </c>
      <c r="Y72" t="inlineStr">
        <is>
          <t xml:space="preserve">Kevin Andre Lawson</t>
        </is>
      </c>
      <c r="Z72" t="inlineStr">
        <is>
          <t xml:space="preserve">Bank of America</t>
        </is>
      </c>
      <c r="AA72" s="77" t="inlineStr">
        <is>
          <t xml:space="preserve">4721836590214</t>
        </is>
      </c>
    </row>
    <row r="73">
      <c r="A73" t="inlineStr">
        <is>
          <t xml:space="preserve">Kevin Andre Lawson</t>
        </is>
      </c>
      <c r="B73" s="40">
        <v>4721836590214</v>
      </c>
      <c r="C73" t="inlineStr">
        <is>
          <t xml:space="preserve">P</t>
        </is>
      </c>
      <c r="D73" s="78">
        <f>D72+F73-G73</f>
      </c>
      <c r="E73" s="1">
        <v>46188</v>
      </c>
      <c r="F73" s="82">
        <v>0</v>
      </c>
      <c r="G73" s="82">
        <v>100.0</v>
      </c>
      <c r="H73" t="inlineStr">
        <is>
          <t xml:space="preserve">Internal Transfer</t>
        </is>
      </c>
      <c r="I73" t="inlineStr">
        <is>
          <t xml:space="preserve">D</t>
        </is>
      </c>
      <c r="J73" t="inlineStr">
        <is>
          <t xml:space="preserve">Untagged</t>
        </is>
      </c>
      <c r="K73" t="inlineStr">
        <is>
          <t xml:space="preserve">Transfer to savings</t>
        </is>
      </c>
      <c r="U73" s="1">
        <v>46188</v>
      </c>
      <c r="V73" t="inlineStr">
        <is>
          <t xml:space="preserve">Kevin Andre Lawson</t>
        </is>
      </c>
      <c r="W73" t="inlineStr">
        <is>
          <t xml:space="preserve">Bank of America</t>
        </is>
      </c>
      <c r="X73" s="77" t="inlineStr">
        <is>
          <t xml:space="preserve">4721836590214</t>
        </is>
      </c>
      <c r="Y73" t="inlineStr">
        <is>
          <t xml:space="preserve">Kevin Andre Lawson</t>
        </is>
      </c>
      <c r="Z73" t="inlineStr">
        <is>
          <t xml:space="preserve">Bank of America</t>
        </is>
      </c>
      <c r="AA73" s="77" t="inlineStr">
        <is>
          <t xml:space="preserve">4721836590873</t>
        </is>
      </c>
    </row>
    <row r="74">
      <c r="A74" t="inlineStr">
        <is>
          <t xml:space="preserve">Kevin Andre Lawson</t>
        </is>
      </c>
      <c r="B74" s="40">
        <v>4721836590214</v>
      </c>
      <c r="C74" t="inlineStr">
        <is>
          <t xml:space="preserve">P</t>
        </is>
      </c>
      <c r="D74" s="78">
        <f>D73+F74-G74</f>
      </c>
      <c r="E74" s="1">
        <v>46190</v>
      </c>
      <c r="F74" s="82">
        <v>320.0</v>
      </c>
      <c r="G74" s="82">
        <v>0</v>
      </c>
      <c r="H74" t="inlineStr">
        <is>
          <t xml:space="preserve">P2P</t>
        </is>
      </c>
      <c r="I74" t="inlineStr">
        <is>
          <t xml:space="preserve">C</t>
        </is>
      </c>
      <c r="J74" t="inlineStr">
        <is>
          <t xml:space="preserve">Untagged</t>
        </is>
      </c>
      <c r="K74" t="inlineStr">
        <is>
          <t xml:space="preserve">Zelle received</t>
        </is>
      </c>
      <c r="T74" s="81">
        <v>0.7090277777777778</v>
      </c>
      <c r="U74" s="1">
        <v>46190</v>
      </c>
      <c r="V74" t="inlineStr">
        <is>
          <t xml:space="preserve">Ethan Brooks</t>
        </is>
      </c>
      <c r="W74" t="inlineStr">
        <is>
          <t xml:space="preserve">PNC Bank</t>
        </is>
      </c>
      <c r="X74" s="77" t="inlineStr">
        <is>
          <t xml:space="preserve">ZELLE-S-1106</t>
        </is>
      </c>
      <c r="Y74" t="inlineStr">
        <is>
          <t xml:space="preserve">Kevin Andre Lawson</t>
        </is>
      </c>
      <c r="Z74" t="inlineStr">
        <is>
          <t xml:space="preserve">Bank of America</t>
        </is>
      </c>
      <c r="AA74" s="77" t="inlineStr">
        <is>
          <t xml:space="preserve">4721836590214</t>
        </is>
      </c>
    </row>
    <row r="75">
      <c r="A75" t="inlineStr">
        <is>
          <t xml:space="preserve">Kevin Andre Lawson</t>
        </is>
      </c>
      <c r="B75" s="40">
        <v>4721836590214</v>
      </c>
      <c r="C75" t="inlineStr">
        <is>
          <t xml:space="preserve">P</t>
        </is>
      </c>
      <c r="D75" s="78">
        <f>D74+F75-G75</f>
      </c>
      <c r="E75" s="1">
        <v>46191</v>
      </c>
      <c r="F75" s="82">
        <v>425.0</v>
      </c>
      <c r="G75" s="82">
        <v>0</v>
      </c>
      <c r="H75" t="inlineStr">
        <is>
          <t xml:space="preserve">P2P</t>
        </is>
      </c>
      <c r="I75" t="inlineStr">
        <is>
          <t xml:space="preserve">C</t>
        </is>
      </c>
      <c r="J75" t="inlineStr">
        <is>
          <t xml:space="preserve">Untagged</t>
        </is>
      </c>
      <c r="K75" t="inlineStr">
        <is>
          <t xml:space="preserve">Zelle received</t>
        </is>
      </c>
      <c r="T75" s="81">
        <v>0.5895833333333333</v>
      </c>
      <c r="U75" s="1">
        <v>46191</v>
      </c>
      <c r="V75" t="inlineStr">
        <is>
          <t xml:space="preserve">Nicole Ferguson</t>
        </is>
      </c>
      <c r="W75" t="inlineStr">
        <is>
          <t xml:space="preserve">Regions Bank</t>
        </is>
      </c>
      <c r="X75" s="77" t="inlineStr">
        <is>
          <t xml:space="preserve">ZELLE-S-1113</t>
        </is>
      </c>
      <c r="Y75" t="inlineStr">
        <is>
          <t xml:space="preserve">Kevin Andre Lawson</t>
        </is>
      </c>
      <c r="Z75" t="inlineStr">
        <is>
          <t xml:space="preserve">Bank of America</t>
        </is>
      </c>
      <c r="AA75" s="77" t="inlineStr">
        <is>
          <t xml:space="preserve">4721836590214</t>
        </is>
      </c>
      <c r="AB75" t="inlineStr">
        <is>
          <t xml:space="preserve">For you</t>
        </is>
      </c>
    </row>
    <row r="76">
      <c r="A76" t="inlineStr">
        <is>
          <t xml:space="preserve">Kevin Andre Lawson</t>
        </is>
      </c>
      <c r="B76" s="40">
        <v>4721836590214</v>
      </c>
      <c r="C76" t="inlineStr">
        <is>
          <t xml:space="preserve">P</t>
        </is>
      </c>
      <c r="D76" s="78">
        <f>D75+F76-G76</f>
      </c>
      <c r="E76" s="1">
        <v>46191</v>
      </c>
      <c r="F76" s="82">
        <v>0</v>
      </c>
      <c r="G76" s="82">
        <v>55.0</v>
      </c>
      <c r="H76" t="inlineStr">
        <is>
          <t xml:space="preserve">ACH</t>
        </is>
      </c>
      <c r="I76" t="inlineStr">
        <is>
          <t xml:space="preserve">D</t>
        </is>
      </c>
      <c r="J76" t="inlineStr">
        <is>
          <t xml:space="preserve">Untagged</t>
        </is>
      </c>
      <c r="K76" t="inlineStr">
        <is>
          <t xml:space="preserve">Mobile phone bill</t>
        </is>
      </c>
      <c r="N76" t="inlineStr">
        <is>
          <t xml:space="preserve">Orlando</t>
        </is>
      </c>
      <c r="O76" t="inlineStr">
        <is>
          <t xml:space="preserve">FL</t>
        </is>
      </c>
      <c r="P76">
        <v>32839</v>
      </c>
      <c r="U76" s="1">
        <v>46191</v>
      </c>
      <c r="V76" t="inlineStr">
        <is>
          <t xml:space="preserve">Kevin Andre Lawson</t>
        </is>
      </c>
      <c r="W76" t="inlineStr">
        <is>
          <t xml:space="preserve">Bank of America</t>
        </is>
      </c>
      <c r="X76" s="77" t="inlineStr">
        <is>
          <t xml:space="preserve">4721836590214</t>
        </is>
      </c>
      <c r="Y76" t="inlineStr">
        <is>
          <t xml:space="preserve">T-Mobile</t>
        </is>
      </c>
      <c r="Z76" t="inlineStr">
        <is>
          <t xml:space="preserve">Citibank</t>
        </is>
      </c>
      <c r="AA76" s="77" t="inlineStr">
        <is>
          <t xml:space="preserve">UTIL-TMO</t>
        </is>
      </c>
    </row>
    <row r="77">
      <c r="A77" t="inlineStr">
        <is>
          <t xml:space="preserve">Kevin Andre Lawson</t>
        </is>
      </c>
      <c r="B77" s="40">
        <v>4721836590214</v>
      </c>
      <c r="C77" t="inlineStr">
        <is>
          <t xml:space="preserve">P</t>
        </is>
      </c>
      <c r="D77" s="78">
        <f>D76+F77-G77</f>
      </c>
      <c r="E77" s="1">
        <v>46192</v>
      </c>
      <c r="F77" s="82">
        <v>381.81</v>
      </c>
      <c r="G77" s="82">
        <v>0</v>
      </c>
      <c r="H77" t="inlineStr">
        <is>
          <t xml:space="preserve">ACH</t>
        </is>
      </c>
      <c r="I77" t="inlineStr">
        <is>
          <t xml:space="preserve">C</t>
        </is>
      </c>
      <c r="J77" t="inlineStr">
        <is>
          <t xml:space="preserve">Untagged</t>
        </is>
      </c>
      <c r="K77" t="inlineStr">
        <is>
          <t xml:space="preserve">Payroll deposit</t>
        </is>
      </c>
      <c r="U77" s="1">
        <v>46192</v>
      </c>
      <c r="V77" t="inlineStr">
        <is>
          <t xml:space="preserve">Walmart Inc.</t>
        </is>
      </c>
      <c r="W77" t="inlineStr">
        <is>
          <t xml:space="preserve">JPMorgan Chase</t>
        </is>
      </c>
      <c r="X77" s="77" t="inlineStr">
        <is>
          <t xml:space="preserve">PAYROLL-WMT-0619</t>
        </is>
      </c>
      <c r="Y77" t="inlineStr">
        <is>
          <t xml:space="preserve">Kevin Andre Lawson</t>
        </is>
      </c>
      <c r="Z77" t="inlineStr">
        <is>
          <t xml:space="preserve">Bank of America</t>
        </is>
      </c>
      <c r="AA77" s="77" t="inlineStr">
        <is>
          <t xml:space="preserve">4721836590214</t>
        </is>
      </c>
    </row>
    <row r="78">
      <c r="A78" t="inlineStr">
        <is>
          <t xml:space="preserve">Kevin Andre Lawson</t>
        </is>
      </c>
      <c r="B78" s="40">
        <v>4721836590214</v>
      </c>
      <c r="C78" t="inlineStr">
        <is>
          <t xml:space="preserve">P</t>
        </is>
      </c>
      <c r="D78" s="78">
        <f>D77+F78-G78</f>
      </c>
      <c r="E78" s="1">
        <v>46193</v>
      </c>
      <c r="F78" s="82">
        <v>425.0</v>
      </c>
      <c r="G78" s="82">
        <v>0</v>
      </c>
      <c r="H78" t="inlineStr">
        <is>
          <t xml:space="preserve">P2P</t>
        </is>
      </c>
      <c r="I78" t="inlineStr">
        <is>
          <t xml:space="preserve">C</t>
        </is>
      </c>
      <c r="J78" t="inlineStr">
        <is>
          <t xml:space="preserve">Untagged</t>
        </is>
      </c>
      <c r="K78" t="inlineStr">
        <is>
          <t xml:space="preserve">Zelle received</t>
        </is>
      </c>
      <c r="T78" s="81">
        <v>0.5625</v>
      </c>
      <c r="U78" s="1">
        <v>46193</v>
      </c>
      <c r="V78" t="inlineStr">
        <is>
          <t xml:space="preserve">Darnell Price</t>
        </is>
      </c>
      <c r="W78" t="inlineStr">
        <is>
          <t xml:space="preserve">Regions Bank</t>
        </is>
      </c>
      <c r="X78" s="77" t="inlineStr">
        <is>
          <t xml:space="preserve">ZELLE-S-1122</t>
        </is>
      </c>
      <c r="Y78" t="inlineStr">
        <is>
          <t xml:space="preserve">Kevin Andre Lawson</t>
        </is>
      </c>
      <c r="Z78" t="inlineStr">
        <is>
          <t xml:space="preserve">Bank of America</t>
        </is>
      </c>
      <c r="AA78" s="77" t="inlineStr">
        <is>
          <t xml:space="preserve">4721836590214</t>
        </is>
      </c>
    </row>
    <row r="79">
      <c r="A79" t="inlineStr">
        <is>
          <t xml:space="preserve">Kevin Andre Lawson</t>
        </is>
      </c>
      <c r="B79" s="40">
        <v>4721836590214</v>
      </c>
      <c r="C79" t="inlineStr">
        <is>
          <t xml:space="preserve">P</t>
        </is>
      </c>
      <c r="D79" s="78">
        <f>D78+F79-G79</f>
      </c>
      <c r="E79" s="1">
        <v>46194</v>
      </c>
      <c r="F79" s="82">
        <v>375.0</v>
      </c>
      <c r="G79" s="82">
        <v>0</v>
      </c>
      <c r="H79" t="inlineStr">
        <is>
          <t xml:space="preserve">P2P</t>
        </is>
      </c>
      <c r="I79" t="inlineStr">
        <is>
          <t xml:space="preserve">C</t>
        </is>
      </c>
      <c r="J79" t="inlineStr">
        <is>
          <t xml:space="preserve">Untagged</t>
        </is>
      </c>
      <c r="K79" t="inlineStr">
        <is>
          <t xml:space="preserve">Zelle received</t>
        </is>
      </c>
      <c r="T79" s="81">
        <v>0.6458333333333334</v>
      </c>
      <c r="U79" s="1">
        <v>46194</v>
      </c>
      <c r="V79" t="inlineStr">
        <is>
          <t xml:space="preserve">Carmen Reyes</t>
        </is>
      </c>
      <c r="W79" t="inlineStr">
        <is>
          <t xml:space="preserve">TD Bank</t>
        </is>
      </c>
      <c r="X79" s="77" t="inlineStr">
        <is>
          <t xml:space="preserve">ZELLE-S-1107</t>
        </is>
      </c>
      <c r="Y79" t="inlineStr">
        <is>
          <t xml:space="preserve">Kevin Andre Lawson</t>
        </is>
      </c>
      <c r="Z79" t="inlineStr">
        <is>
          <t xml:space="preserve">Bank of America</t>
        </is>
      </c>
      <c r="AA79" s="77" t="inlineStr">
        <is>
          <t xml:space="preserve">4721836590214</t>
        </is>
      </c>
      <c r="AB79" t="inlineStr">
        <is>
          <t xml:space="preserve">Sent</t>
        </is>
      </c>
    </row>
    <row r="80">
      <c r="A80" t="inlineStr">
        <is>
          <t xml:space="preserve">Kevin Andre Lawson</t>
        </is>
      </c>
      <c r="B80" s="40">
        <v>4721836590214</v>
      </c>
      <c r="C80" t="inlineStr">
        <is>
          <t xml:space="preserve">P</t>
        </is>
      </c>
      <c r="D80" s="78">
        <f>D79+F80-G80</f>
      </c>
      <c r="E80" s="1">
        <v>46194</v>
      </c>
      <c r="F80" s="82">
        <v>0</v>
      </c>
      <c r="G80" s="82">
        <v>43.67</v>
      </c>
      <c r="H80" t="inlineStr">
        <is>
          <t xml:space="preserve">Debit Card</t>
        </is>
      </c>
      <c r="I80" t="inlineStr">
        <is>
          <t xml:space="preserve">D</t>
        </is>
      </c>
      <c r="J80" t="inlineStr">
        <is>
          <t xml:space="preserve">Untagged</t>
        </is>
      </c>
      <c r="K80" t="inlineStr">
        <is>
          <t xml:space="preserve">Shell fuel</t>
        </is>
      </c>
      <c r="L80" t="inlineStr">
        <is>
          <t xml:space="preserve">4128 5530 9187 2264</t>
        </is>
      </c>
      <c r="N80" t="inlineStr">
        <is>
          <t xml:space="preserve">Orlando</t>
        </is>
      </c>
      <c r="O80" t="inlineStr">
        <is>
          <t xml:space="preserve">FL</t>
        </is>
      </c>
      <c r="P80">
        <v>32839</v>
      </c>
      <c r="S80" t="inlineStr">
        <is>
          <t xml:space="preserve">POS-ORL-2512</t>
        </is>
      </c>
      <c r="T80" s="81">
        <v>0.4777777777777778</v>
      </c>
      <c r="U80" s="1">
        <v>46195</v>
      </c>
      <c r="V80" t="inlineStr">
        <is>
          <t xml:space="preserve">Kevin Andre Lawson</t>
        </is>
      </c>
      <c r="W80" t="inlineStr">
        <is>
          <t xml:space="preserve">Bank of America</t>
        </is>
      </c>
      <c r="X80" s="77" t="inlineStr">
        <is>
          <t xml:space="preserve">4721836590214</t>
        </is>
      </c>
      <c r="Y80" t="inlineStr">
        <is>
          <t xml:space="preserve">Shell</t>
        </is>
      </c>
    </row>
    <row r="81">
      <c r="A81" t="inlineStr">
        <is>
          <t xml:space="preserve">Kevin Andre Lawson</t>
        </is>
      </c>
      <c r="B81" s="40">
        <v>4721836590214</v>
      </c>
      <c r="C81" t="inlineStr">
        <is>
          <t xml:space="preserve">P</t>
        </is>
      </c>
      <c r="D81" s="78">
        <f>D80+F81-G81</f>
      </c>
      <c r="E81" s="1">
        <v>46195</v>
      </c>
      <c r="F81" s="82">
        <v>225.0</v>
      </c>
      <c r="G81" s="82">
        <v>0</v>
      </c>
      <c r="H81" t="inlineStr">
        <is>
          <t xml:space="preserve">P2P</t>
        </is>
      </c>
      <c r="I81" t="inlineStr">
        <is>
          <t xml:space="preserve">C</t>
        </is>
      </c>
      <c r="J81" t="inlineStr">
        <is>
          <t xml:space="preserve">Untagged</t>
        </is>
      </c>
      <c r="K81" t="inlineStr">
        <is>
          <t xml:space="preserve">Zelle received</t>
        </is>
      </c>
      <c r="T81" s="81">
        <v>0.42083333333333334</v>
      </c>
      <c r="U81" s="1">
        <v>46195</v>
      </c>
      <c r="V81" t="inlineStr">
        <is>
          <t xml:space="preserve">Megan Sullivan</t>
        </is>
      </c>
      <c r="W81" t="inlineStr">
        <is>
          <t xml:space="preserve">Wells Fargo</t>
        </is>
      </c>
      <c r="X81" s="77" t="inlineStr">
        <is>
          <t xml:space="preserve">ZELLE-S-1119</t>
        </is>
      </c>
      <c r="Y81" t="inlineStr">
        <is>
          <t xml:space="preserve">Kevin Andre Lawson</t>
        </is>
      </c>
      <c r="Z81" t="inlineStr">
        <is>
          <t xml:space="preserve">Bank of America</t>
        </is>
      </c>
      <c r="AA81" s="77" t="inlineStr">
        <is>
          <t xml:space="preserve">4721836590214</t>
        </is>
      </c>
      <c r="AB81" t="inlineStr">
        <is>
          <t xml:space="preserve">Thanks</t>
        </is>
      </c>
    </row>
    <row r="82">
      <c r="A82" t="inlineStr">
        <is>
          <t xml:space="preserve">Kevin Andre Lawson</t>
        </is>
      </c>
      <c r="B82" s="40">
        <v>4721836590214</v>
      </c>
      <c r="C82" t="inlineStr">
        <is>
          <t xml:space="preserve">P</t>
        </is>
      </c>
      <c r="D82" s="78">
        <f>D81+F82-G82</f>
      </c>
      <c r="E82" s="1">
        <v>46195</v>
      </c>
      <c r="F82" s="82">
        <v>0</v>
      </c>
      <c r="G82" s="82">
        <v>112.4</v>
      </c>
      <c r="H82" t="inlineStr">
        <is>
          <t xml:space="preserve">ACH</t>
        </is>
      </c>
      <c r="I82" t="inlineStr">
        <is>
          <t xml:space="preserve">D</t>
        </is>
      </c>
      <c r="J82" t="inlineStr">
        <is>
          <t xml:space="preserve">Untagged</t>
        </is>
      </c>
      <c r="K82" t="inlineStr">
        <is>
          <t xml:space="preserve">Auto insurance premium</t>
        </is>
      </c>
      <c r="N82" t="inlineStr">
        <is>
          <t xml:space="preserve">Orlando</t>
        </is>
      </c>
      <c r="O82" t="inlineStr">
        <is>
          <t xml:space="preserve">FL</t>
        </is>
      </c>
      <c r="P82">
        <v>32839</v>
      </c>
      <c r="U82" s="1">
        <v>46195</v>
      </c>
      <c r="V82" t="inlineStr">
        <is>
          <t xml:space="preserve">Kevin Andre Lawson</t>
        </is>
      </c>
      <c r="W82" t="inlineStr">
        <is>
          <t xml:space="preserve">Bank of America</t>
        </is>
      </c>
      <c r="X82" s="77" t="inlineStr">
        <is>
          <t xml:space="preserve">4721836590214</t>
        </is>
      </c>
      <c r="Y82" t="inlineStr">
        <is>
          <t xml:space="preserve">GEICO</t>
        </is>
      </c>
      <c r="Z82" t="inlineStr">
        <is>
          <t xml:space="preserve">Bank of America</t>
        </is>
      </c>
      <c r="AA82" s="77" t="inlineStr">
        <is>
          <t xml:space="preserve">INS-GEICO</t>
        </is>
      </c>
    </row>
    <row r="83">
      <c r="A83" t="inlineStr">
        <is>
          <t xml:space="preserve">Kevin Andre Lawson</t>
        </is>
      </c>
      <c r="B83" s="40">
        <v>4721836590214</v>
      </c>
      <c r="C83" t="inlineStr">
        <is>
          <t xml:space="preserve">P</t>
        </is>
      </c>
      <c r="D83" s="78">
        <f>D82+F83-G83</f>
      </c>
      <c r="E83" s="1">
        <v>46196</v>
      </c>
      <c r="F83" s="82">
        <v>375.0</v>
      </c>
      <c r="G83" s="82">
        <v>0</v>
      </c>
      <c r="H83" t="inlineStr">
        <is>
          <t xml:space="preserve">P2P</t>
        </is>
      </c>
      <c r="I83" t="inlineStr">
        <is>
          <t xml:space="preserve">C</t>
        </is>
      </c>
      <c r="J83" t="inlineStr">
        <is>
          <t xml:space="preserve">Untagged</t>
        </is>
      </c>
      <c r="K83" t="inlineStr">
        <is>
          <t xml:space="preserve">Zelle received</t>
        </is>
      </c>
      <c r="T83" s="81">
        <v>0.9055555555555556</v>
      </c>
      <c r="U83" s="1">
        <v>46196</v>
      </c>
      <c r="V83" t="inlineStr">
        <is>
          <t xml:space="preserve">Chris Patterson</t>
        </is>
      </c>
      <c r="W83" t="inlineStr">
        <is>
          <t xml:space="preserve">PNC Bank</t>
        </is>
      </c>
      <c r="X83" s="77" t="inlineStr">
        <is>
          <t xml:space="preserve">ZELLE-S-1116</t>
        </is>
      </c>
      <c r="Y83" t="inlineStr">
        <is>
          <t xml:space="preserve">Kevin Andre Lawson</t>
        </is>
      </c>
      <c r="Z83" t="inlineStr">
        <is>
          <t xml:space="preserve">Bank of America</t>
        </is>
      </c>
      <c r="AA83" s="77" t="inlineStr">
        <is>
          <t xml:space="preserve">4721836590214</t>
        </is>
      </c>
    </row>
    <row r="84">
      <c r="A84" t="inlineStr">
        <is>
          <t xml:space="preserve">Kevin Andre Lawson</t>
        </is>
      </c>
      <c r="B84" s="40">
        <v>4721836590214</v>
      </c>
      <c r="C84" t="inlineStr">
        <is>
          <t xml:space="preserve">P</t>
        </is>
      </c>
      <c r="D84" s="78">
        <f>D83+F84-G84</f>
      </c>
      <c r="E84" s="1">
        <v>46199</v>
      </c>
      <c r="F84" s="82">
        <v>388.49</v>
      </c>
      <c r="G84" s="82">
        <v>0</v>
      </c>
      <c r="H84" t="inlineStr">
        <is>
          <t xml:space="preserve">ACH</t>
        </is>
      </c>
      <c r="I84" t="inlineStr">
        <is>
          <t xml:space="preserve">C</t>
        </is>
      </c>
      <c r="J84" t="inlineStr">
        <is>
          <t xml:space="preserve">Untagged</t>
        </is>
      </c>
      <c r="K84" t="inlineStr">
        <is>
          <t xml:space="preserve">Payroll deposit</t>
        </is>
      </c>
      <c r="U84" s="1">
        <v>46199</v>
      </c>
      <c r="V84" t="inlineStr">
        <is>
          <t xml:space="preserve">Walmart Inc.</t>
        </is>
      </c>
      <c r="W84" t="inlineStr">
        <is>
          <t xml:space="preserve">JPMorgan Chase</t>
        </is>
      </c>
      <c r="X84" s="77" t="inlineStr">
        <is>
          <t xml:space="preserve">PAYROLL-WMT-0626</t>
        </is>
      </c>
      <c r="Y84" t="inlineStr">
        <is>
          <t xml:space="preserve">Kevin Andre Lawson</t>
        </is>
      </c>
      <c r="Z84" t="inlineStr">
        <is>
          <t xml:space="preserve">Bank of America</t>
        </is>
      </c>
      <c r="AA84" s="77" t="inlineStr">
        <is>
          <t xml:space="preserve">4721836590214</t>
        </is>
      </c>
    </row>
    <row r="85">
      <c r="A85" t="inlineStr">
        <is>
          <t xml:space="preserve">Kevin Andre Lawson</t>
        </is>
      </c>
      <c r="B85" s="40">
        <v>4721836590214</v>
      </c>
      <c r="C85" t="inlineStr">
        <is>
          <t xml:space="preserve">P</t>
        </is>
      </c>
      <c r="D85" s="78">
        <f>D84+F85-G85</f>
      </c>
      <c r="E85" s="1">
        <v>46199</v>
      </c>
      <c r="F85" s="82">
        <v>200.0</v>
      </c>
      <c r="G85" s="82">
        <v>0</v>
      </c>
      <c r="H85" t="inlineStr">
        <is>
          <t xml:space="preserve">P2P</t>
        </is>
      </c>
      <c r="I85" t="inlineStr">
        <is>
          <t xml:space="preserve">C</t>
        </is>
      </c>
      <c r="J85" t="inlineStr">
        <is>
          <t xml:space="preserve">Untagged</t>
        </is>
      </c>
      <c r="K85" t="inlineStr">
        <is>
          <t xml:space="preserve">Zelle received</t>
        </is>
      </c>
      <c r="T85" s="81">
        <v>0.48125</v>
      </c>
      <c r="U85" s="1">
        <v>46199</v>
      </c>
      <c r="V85" t="inlineStr">
        <is>
          <t xml:space="preserve">Keisha Lawrence</t>
        </is>
      </c>
      <c r="W85" t="inlineStr">
        <is>
          <t xml:space="preserve">TD Bank</t>
        </is>
      </c>
      <c r="X85" s="77" t="inlineStr">
        <is>
          <t xml:space="preserve">ZELLE-S-1133</t>
        </is>
      </c>
      <c r="Y85" t="inlineStr">
        <is>
          <t xml:space="preserve">Kevin Andre Lawson</t>
        </is>
      </c>
      <c r="Z85" t="inlineStr">
        <is>
          <t xml:space="preserve">Bank of America</t>
        </is>
      </c>
      <c r="AA85" s="77" t="inlineStr">
        <is>
          <t xml:space="preserve">4721836590214</t>
        </is>
      </c>
      <c r="AB85" t="inlineStr">
        <is>
          <t xml:space="preserve">Thanks</t>
        </is>
      </c>
    </row>
    <row r="86">
      <c r="A86" t="inlineStr">
        <is>
          <t xml:space="preserve">Kevin Andre Lawson</t>
        </is>
      </c>
      <c r="B86" s="40">
        <v>4721836590214</v>
      </c>
      <c r="C86" t="inlineStr">
        <is>
          <t xml:space="preserve">P</t>
        </is>
      </c>
      <c r="D86" s="78">
        <f>D85+F86-G86</f>
      </c>
      <c r="E86" s="1">
        <v>46203</v>
      </c>
      <c r="F86" s="82">
        <v>0</v>
      </c>
      <c r="G86" s="82">
        <v>3350.0</v>
      </c>
      <c r="H86" t="inlineStr">
        <is>
          <t xml:space="preserve">Wire</t>
        </is>
      </c>
      <c r="I86" t="inlineStr">
        <is>
          <t xml:space="preserve">D</t>
        </is>
      </c>
      <c r="J86" t="inlineStr">
        <is>
          <t xml:space="preserve">Untagged</t>
        </is>
      </c>
      <c r="K86" t="inlineStr">
        <is>
          <t xml:space="preserve">International wire out - Panama</t>
        </is>
      </c>
      <c r="N86" t="inlineStr">
        <is>
          <t xml:space="preserve">Orlando</t>
        </is>
      </c>
      <c r="O86" t="inlineStr">
        <is>
          <t xml:space="preserve">FL</t>
        </is>
      </c>
      <c r="P86">
        <v>32839</v>
      </c>
      <c r="Q86" t="inlineStr">
        <is>
          <t xml:space="preserve">FL-ORL-03</t>
        </is>
      </c>
      <c r="R86" t="inlineStr">
        <is>
          <t xml:space="preserve">TELLER03</t>
        </is>
      </c>
      <c r="T86" s="81">
        <v>0.6583333333333333</v>
      </c>
      <c r="U86" s="1">
        <v>46203</v>
      </c>
      <c r="V86" t="inlineStr">
        <is>
          <t xml:space="preserve">Kevin Andre Lawson</t>
        </is>
      </c>
      <c r="W86" t="inlineStr">
        <is>
          <t xml:space="preserve">Bank of America</t>
        </is>
      </c>
      <c r="X86" s="77" t="inlineStr">
        <is>
          <t xml:space="preserve">4721836590214</t>
        </is>
      </c>
      <c r="Y86" t="inlineStr">
        <is>
          <t xml:space="preserve">Istmo Meridian Trading Corp.</t>
        </is>
      </c>
      <c r="Z86" t="inlineStr">
        <is>
          <t xml:space="preserve">Banco Atlantico de Panama, S.A.</t>
        </is>
      </c>
      <c r="AA86" s="77" t="inlineStr">
        <is>
          <t xml:space="preserve">PA-0417-2290-5531</t>
        </is>
      </c>
      <c r="AB86" t="inlineStr">
        <is>
          <t xml:space="preserve">Payment per agreement</t>
        </is>
      </c>
    </row>
    <row r="87">
      <c r="A87" t="inlineStr">
        <is>
          <t xml:space="preserve">Kevin Andre Lawson</t>
        </is>
      </c>
      <c r="B87" s="40">
        <v>4721836590214</v>
      </c>
      <c r="C87" t="inlineStr">
        <is>
          <t xml:space="preserve">P</t>
        </is>
      </c>
      <c r="D87" s="78">
        <f>D86+F87-G87</f>
      </c>
      <c r="E87" s="1">
        <v>46203</v>
      </c>
      <c r="F87" s="82">
        <v>0</v>
      </c>
      <c r="G87" s="82">
        <v>45.0</v>
      </c>
      <c r="H87" t="inlineStr">
        <is>
          <t xml:space="preserve">Fee</t>
        </is>
      </c>
      <c r="I87" t="inlineStr">
        <is>
          <t xml:space="preserve">D</t>
        </is>
      </c>
      <c r="J87" t="inlineStr">
        <is>
          <t xml:space="preserve">Untagged</t>
        </is>
      </c>
      <c r="K87" t="inlineStr">
        <is>
          <t xml:space="preserve">International wire transfer fee</t>
        </is>
      </c>
      <c r="U87" s="1">
        <v>46203</v>
      </c>
      <c r="V87" t="inlineStr">
        <is>
          <t xml:space="preserve">Kevin Andre Lawson</t>
        </is>
      </c>
      <c r="W87" t="inlineStr">
        <is>
          <t xml:space="preserve">Bank of America</t>
        </is>
      </c>
      <c r="X87" s="77" t="inlineStr">
        <is>
          <t xml:space="preserve">4721836590214</t>
        </is>
      </c>
      <c r="Y87" t="inlineStr">
        <is>
          <t xml:space="preserve">Bank of America</t>
        </is>
      </c>
      <c r="AA87" s="77" t="inlineStr">
        <is>
          <t xml:space="preserve">FEE-INTLWIRE</t>
        </is>
      </c>
    </row>
    <row r="88">
      <c r="A88" t="inlineStr">
        <is>
          <t xml:space="preserve">Kevin Andre Lawson</t>
        </is>
      </c>
      <c r="B88" s="40">
        <v>4721836590214</v>
      </c>
      <c r="C88" t="inlineStr">
        <is>
          <t xml:space="preserve">P</t>
        </is>
      </c>
      <c r="D88" s="78">
        <f>D87+F88-G88</f>
      </c>
      <c r="E88" s="1">
        <v>46204</v>
      </c>
      <c r="F88" s="82">
        <v>250.0</v>
      </c>
      <c r="G88" s="82">
        <v>0</v>
      </c>
      <c r="H88" t="inlineStr">
        <is>
          <t xml:space="preserve">P2P</t>
        </is>
      </c>
      <c r="I88" t="inlineStr">
        <is>
          <t xml:space="preserve">C</t>
        </is>
      </c>
      <c r="J88" t="inlineStr">
        <is>
          <t xml:space="preserve">Untagged</t>
        </is>
      </c>
      <c r="K88" t="inlineStr">
        <is>
          <t xml:space="preserve">Zelle received</t>
        </is>
      </c>
      <c r="T88" s="81">
        <v>0.5756944444444444</v>
      </c>
      <c r="U88" s="1">
        <v>46204</v>
      </c>
      <c r="V88" t="inlineStr">
        <is>
          <t xml:space="preserve">Hannah Pierce</t>
        </is>
      </c>
      <c r="W88" t="inlineStr">
        <is>
          <t xml:space="preserve">Capital One</t>
        </is>
      </c>
      <c r="X88" s="77" t="inlineStr">
        <is>
          <t xml:space="preserve">ZELLE-S-1123</t>
        </is>
      </c>
      <c r="Y88" t="inlineStr">
        <is>
          <t xml:space="preserve">Kevin Andre Lawson</t>
        </is>
      </c>
      <c r="Z88" t="inlineStr">
        <is>
          <t xml:space="preserve">Bank of America</t>
        </is>
      </c>
      <c r="AA88" s="77" t="inlineStr">
        <is>
          <t xml:space="preserve">4721836590214</t>
        </is>
      </c>
      <c r="AB88" t="inlineStr">
        <is>
          <t xml:space="preserve">Payment</t>
        </is>
      </c>
    </row>
    <row r="89">
      <c r="A89" t="inlineStr">
        <is>
          <t xml:space="preserve">Kevin Andre Lawson</t>
        </is>
      </c>
      <c r="B89" s="40">
        <v>4721836590214</v>
      </c>
      <c r="C89" t="inlineStr">
        <is>
          <t xml:space="preserve">P</t>
        </is>
      </c>
      <c r="D89" s="78">
        <f>D88+F89-G89</f>
      </c>
      <c r="E89" s="1">
        <v>46204</v>
      </c>
      <c r="F89" s="82">
        <v>0</v>
      </c>
      <c r="G89" s="82">
        <v>650.0</v>
      </c>
      <c r="H89" t="inlineStr">
        <is>
          <t xml:space="preserve">ACH</t>
        </is>
      </c>
      <c r="I89" t="inlineStr">
        <is>
          <t xml:space="preserve">D</t>
        </is>
      </c>
      <c r="J89" t="inlineStr">
        <is>
          <t xml:space="preserve">Untagged</t>
        </is>
      </c>
      <c r="K89" t="inlineStr">
        <is>
          <t xml:space="preserve">Monthly rent</t>
        </is>
      </c>
      <c r="N89" t="inlineStr">
        <is>
          <t xml:space="preserve">Orlando</t>
        </is>
      </c>
      <c r="O89" t="inlineStr">
        <is>
          <t xml:space="preserve">FL</t>
        </is>
      </c>
      <c r="P89">
        <v>32839</v>
      </c>
      <c r="U89" s="1">
        <v>46204</v>
      </c>
      <c r="V89" t="inlineStr">
        <is>
          <t xml:space="preserve">Kevin Andre Lawson</t>
        </is>
      </c>
      <c r="W89" t="inlineStr">
        <is>
          <t xml:space="preserve">Bank of America</t>
        </is>
      </c>
      <c r="X89" s="77" t="inlineStr">
        <is>
          <t xml:space="preserve">4721836590214</t>
        </is>
      </c>
      <c r="Y89" t="inlineStr">
        <is>
          <t xml:space="preserve">Palm Haven Apartments</t>
        </is>
      </c>
      <c r="Z89" t="inlineStr">
        <is>
          <t xml:space="preserve">Truist</t>
        </is>
      </c>
      <c r="AA89" s="77" t="inlineStr">
        <is>
          <t xml:space="preserve">RENT-2715-4B</t>
        </is>
      </c>
    </row>
    <row r="90">
      <c r="A90" t="inlineStr">
        <is>
          <t xml:space="preserve">Kevin Andre Lawson</t>
        </is>
      </c>
      <c r="B90" s="40">
        <v>4721836590214</v>
      </c>
      <c r="C90" t="inlineStr">
        <is>
          <t xml:space="preserve">P</t>
        </is>
      </c>
      <c r="D90" s="78">
        <f>D89+F90-G90</f>
      </c>
      <c r="E90" s="1">
        <v>46205</v>
      </c>
      <c r="F90" s="82">
        <v>0</v>
      </c>
      <c r="G90" s="82">
        <v>42.81</v>
      </c>
      <c r="H90" t="inlineStr">
        <is>
          <t xml:space="preserve">Debit Card</t>
        </is>
      </c>
      <c r="I90" t="inlineStr">
        <is>
          <t xml:space="preserve">D</t>
        </is>
      </c>
      <c r="J90" t="inlineStr">
        <is>
          <t xml:space="preserve">Untagged</t>
        </is>
      </c>
      <c r="K90" t="inlineStr">
        <is>
          <t xml:space="preserve">Publix Super Market</t>
        </is>
      </c>
      <c r="L90" t="inlineStr">
        <is>
          <t xml:space="preserve">4128 5530 9187 2264</t>
        </is>
      </c>
      <c r="N90" t="inlineStr">
        <is>
          <t xml:space="preserve">Orlando</t>
        </is>
      </c>
      <c r="O90" t="inlineStr">
        <is>
          <t xml:space="preserve">FL</t>
        </is>
      </c>
      <c r="P90">
        <v>32839</v>
      </c>
      <c r="S90" t="inlineStr">
        <is>
          <t xml:space="preserve">POS-ORL-1664</t>
        </is>
      </c>
      <c r="T90" s="81">
        <v>0.8555555555555555</v>
      </c>
      <c r="U90" s="1">
        <v>46206</v>
      </c>
      <c r="V90" t="inlineStr">
        <is>
          <t xml:space="preserve">Kevin Andre Lawson</t>
        </is>
      </c>
      <c r="W90" t="inlineStr">
        <is>
          <t xml:space="preserve">Bank of America</t>
        </is>
      </c>
      <c r="X90" s="77" t="inlineStr">
        <is>
          <t xml:space="preserve">4721836590214</t>
        </is>
      </c>
      <c r="Y90" t="inlineStr">
        <is>
          <t xml:space="preserve">Publix Super Market</t>
        </is>
      </c>
    </row>
    <row r="91">
      <c r="A91" t="inlineStr">
        <is>
          <t xml:space="preserve">Kevin Andre Lawson</t>
        </is>
      </c>
      <c r="B91" s="40">
        <v>4721836590214</v>
      </c>
      <c r="C91" t="inlineStr">
        <is>
          <t xml:space="preserve">P</t>
        </is>
      </c>
      <c r="D91" s="78">
        <f>D90+F91-G91</f>
      </c>
      <c r="E91" s="1">
        <v>46206</v>
      </c>
      <c r="F91" s="82">
        <v>396.54</v>
      </c>
      <c r="G91" s="82">
        <v>0</v>
      </c>
      <c r="H91" t="inlineStr">
        <is>
          <t xml:space="preserve">ACH</t>
        </is>
      </c>
      <c r="I91" t="inlineStr">
        <is>
          <t xml:space="preserve">C</t>
        </is>
      </c>
      <c r="J91" t="inlineStr">
        <is>
          <t xml:space="preserve">Untagged</t>
        </is>
      </c>
      <c r="K91" t="inlineStr">
        <is>
          <t xml:space="preserve">Payroll deposit</t>
        </is>
      </c>
      <c r="U91" s="1">
        <v>46206</v>
      </c>
      <c r="V91" t="inlineStr">
        <is>
          <t xml:space="preserve">Walmart Inc.</t>
        </is>
      </c>
      <c r="W91" t="inlineStr">
        <is>
          <t xml:space="preserve">JPMorgan Chase</t>
        </is>
      </c>
      <c r="X91" s="77" t="inlineStr">
        <is>
          <t xml:space="preserve">PAYROLL-WMT-0703</t>
        </is>
      </c>
      <c r="Y91" t="inlineStr">
        <is>
          <t xml:space="preserve">Kevin Andre Lawson</t>
        </is>
      </c>
      <c r="Z91" t="inlineStr">
        <is>
          <t xml:space="preserve">Bank of America</t>
        </is>
      </c>
      <c r="AA91" s="77" t="inlineStr">
        <is>
          <t xml:space="preserve">4721836590214</t>
        </is>
      </c>
    </row>
    <row r="92">
      <c r="A92" t="inlineStr">
        <is>
          <t xml:space="preserve">Kevin Andre Lawson</t>
        </is>
      </c>
      <c r="B92" s="40">
        <v>4721836590214</v>
      </c>
      <c r="C92" t="inlineStr">
        <is>
          <t xml:space="preserve">P</t>
        </is>
      </c>
      <c r="D92" s="78">
        <f>D91+F92-G92</f>
      </c>
      <c r="E92" s="1">
        <v>46206</v>
      </c>
      <c r="F92" s="82">
        <v>400.0</v>
      </c>
      <c r="G92" s="82">
        <v>0</v>
      </c>
      <c r="H92" t="inlineStr">
        <is>
          <t xml:space="preserve">P2P</t>
        </is>
      </c>
      <c r="I92" t="inlineStr">
        <is>
          <t xml:space="preserve">C</t>
        </is>
      </c>
      <c r="J92" t="inlineStr">
        <is>
          <t xml:space="preserve">Untagged</t>
        </is>
      </c>
      <c r="K92" t="inlineStr">
        <is>
          <t xml:space="preserve">Zelle received</t>
        </is>
      </c>
      <c r="T92" s="81">
        <v>0.8555555555555555</v>
      </c>
      <c r="U92" s="1">
        <v>46206</v>
      </c>
      <c r="V92" t="inlineStr">
        <is>
          <t xml:space="preserve">Felix Romero</t>
        </is>
      </c>
      <c r="W92" t="inlineStr">
        <is>
          <t xml:space="preserve">PNC Bank</t>
        </is>
      </c>
      <c r="X92" s="77" t="inlineStr">
        <is>
          <t xml:space="preserve">ZELLE-S-1134</t>
        </is>
      </c>
      <c r="Y92" t="inlineStr">
        <is>
          <t xml:space="preserve">Kevin Andre Lawson</t>
        </is>
      </c>
      <c r="Z92" t="inlineStr">
        <is>
          <t xml:space="preserve">Bank of America</t>
        </is>
      </c>
      <c r="AA92" s="77" t="inlineStr">
        <is>
          <t xml:space="preserve">4721836590214</t>
        </is>
      </c>
      <c r="AB92" t="inlineStr">
        <is>
          <t xml:space="preserve">Thanks</t>
        </is>
      </c>
    </row>
    <row r="93">
      <c r="A93" t="inlineStr">
        <is>
          <t xml:space="preserve">Kevin Andre Lawson</t>
        </is>
      </c>
      <c r="B93" s="40">
        <v>4721836590214</v>
      </c>
      <c r="C93" t="inlineStr">
        <is>
          <t xml:space="preserve">P</t>
        </is>
      </c>
      <c r="D93" s="78">
        <f>D92+F93-G93</f>
      </c>
      <c r="E93" s="1">
        <v>46211</v>
      </c>
      <c r="F93" s="82">
        <v>0</v>
      </c>
      <c r="G93" s="82">
        <v>33.58</v>
      </c>
      <c r="H93" t="inlineStr">
        <is>
          <t xml:space="preserve">Debit Card</t>
        </is>
      </c>
      <c r="I93" t="inlineStr">
        <is>
          <t xml:space="preserve">D</t>
        </is>
      </c>
      <c r="J93" t="inlineStr">
        <is>
          <t xml:space="preserve">Untagged</t>
        </is>
      </c>
      <c r="K93" t="inlineStr">
        <is>
          <t xml:space="preserve">RaceTrac fuel</t>
        </is>
      </c>
      <c r="L93" t="inlineStr">
        <is>
          <t xml:space="preserve">4128 5530 9187 2264</t>
        </is>
      </c>
      <c r="N93" t="inlineStr">
        <is>
          <t xml:space="preserve">Orlando</t>
        </is>
      </c>
      <c r="O93" t="inlineStr">
        <is>
          <t xml:space="preserve">FL</t>
        </is>
      </c>
      <c r="P93">
        <v>32839</v>
      </c>
      <c r="S93" t="inlineStr">
        <is>
          <t xml:space="preserve">POS-ORL-2651</t>
        </is>
      </c>
      <c r="T93" s="81">
        <v>0.7819444444444444</v>
      </c>
      <c r="U93" s="1">
        <v>46212</v>
      </c>
      <c r="V93" t="inlineStr">
        <is>
          <t xml:space="preserve">Kevin Andre Lawson</t>
        </is>
      </c>
      <c r="W93" t="inlineStr">
        <is>
          <t xml:space="preserve">Bank of America</t>
        </is>
      </c>
      <c r="X93" s="77" t="inlineStr">
        <is>
          <t xml:space="preserve">4721836590214</t>
        </is>
      </c>
      <c r="Y93" t="inlineStr">
        <is>
          <t xml:space="preserve">RaceTrac</t>
        </is>
      </c>
    </row>
    <row r="94">
      <c r="A94" t="inlineStr">
        <is>
          <t xml:space="preserve">Kevin Andre Lawson</t>
        </is>
      </c>
      <c r="B94" s="40">
        <v>4721836590214</v>
      </c>
      <c r="C94" t="inlineStr">
        <is>
          <t xml:space="preserve">P</t>
        </is>
      </c>
      <c r="D94" s="78">
        <f>D93+F94-G94</f>
      </c>
      <c r="E94" s="1">
        <v>46212</v>
      </c>
      <c r="F94" s="82">
        <v>425.0</v>
      </c>
      <c r="G94" s="82">
        <v>0</v>
      </c>
      <c r="H94" t="inlineStr">
        <is>
          <t xml:space="preserve">P2P</t>
        </is>
      </c>
      <c r="I94" t="inlineStr">
        <is>
          <t xml:space="preserve">C</t>
        </is>
      </c>
      <c r="J94" t="inlineStr">
        <is>
          <t xml:space="preserve">Untagged</t>
        </is>
      </c>
      <c r="K94" t="inlineStr">
        <is>
          <t xml:space="preserve">Zelle received</t>
        </is>
      </c>
      <c r="T94" s="81">
        <v>0.8680555555555556</v>
      </c>
      <c r="U94" s="1">
        <v>46212</v>
      </c>
      <c r="V94" t="inlineStr">
        <is>
          <t xml:space="preserve">Tyrone Bell</t>
        </is>
      </c>
      <c r="W94" t="inlineStr">
        <is>
          <t xml:space="preserve">Capital One</t>
        </is>
      </c>
      <c r="X94" s="77" t="inlineStr">
        <is>
          <t xml:space="preserve">ZELLE-S-1114</t>
        </is>
      </c>
      <c r="Y94" t="inlineStr">
        <is>
          <t xml:space="preserve">Kevin Andre Lawson</t>
        </is>
      </c>
      <c r="Z94" t="inlineStr">
        <is>
          <t xml:space="preserve">Bank of America</t>
        </is>
      </c>
      <c r="AA94" s="77" t="inlineStr">
        <is>
          <t xml:space="preserve">4721836590214</t>
        </is>
      </c>
      <c r="AB94" t="inlineStr">
        <is>
          <t xml:space="preserve">Payment</t>
        </is>
      </c>
    </row>
    <row r="95">
      <c r="A95" t="inlineStr">
        <is>
          <t xml:space="preserve">Kevin Andre Lawson</t>
        </is>
      </c>
      <c r="B95" s="40">
        <v>4721836590214</v>
      </c>
      <c r="C95" t="inlineStr">
        <is>
          <t xml:space="preserve">P</t>
        </is>
      </c>
      <c r="D95" s="78">
        <f>D94+F95-G95</f>
      </c>
      <c r="E95" s="1">
        <v>46212</v>
      </c>
      <c r="F95" s="82">
        <v>0</v>
      </c>
      <c r="G95" s="82">
        <v>37.28</v>
      </c>
      <c r="H95" t="inlineStr">
        <is>
          <t xml:space="preserve">Debit Card</t>
        </is>
      </c>
      <c r="I95" t="inlineStr">
        <is>
          <t xml:space="preserve">D</t>
        </is>
      </c>
      <c r="J95" t="inlineStr">
        <is>
          <t xml:space="preserve">Untagged</t>
        </is>
      </c>
      <c r="K95" t="inlineStr">
        <is>
          <t xml:space="preserve">Wawa fuel</t>
        </is>
      </c>
      <c r="L95" t="inlineStr">
        <is>
          <t xml:space="preserve">4128 5530 9187 2264</t>
        </is>
      </c>
      <c r="N95" t="inlineStr">
        <is>
          <t xml:space="preserve">Orlando</t>
        </is>
      </c>
      <c r="O95" t="inlineStr">
        <is>
          <t xml:space="preserve">FL</t>
        </is>
      </c>
      <c r="P95">
        <v>32839</v>
      </c>
      <c r="S95" t="inlineStr">
        <is>
          <t xml:space="preserve">POS-ORL-2857</t>
        </is>
      </c>
      <c r="T95" s="81">
        <v>0.5020833333333333</v>
      </c>
      <c r="U95" s="1">
        <v>46213</v>
      </c>
      <c r="V95" t="inlineStr">
        <is>
          <t xml:space="preserve">Kevin Andre Lawson</t>
        </is>
      </c>
      <c r="W95" t="inlineStr">
        <is>
          <t xml:space="preserve">Bank of America</t>
        </is>
      </c>
      <c r="X95" s="77" t="inlineStr">
        <is>
          <t xml:space="preserve">4721836590214</t>
        </is>
      </c>
      <c r="Y95" t="inlineStr">
        <is>
          <t xml:space="preserve">Wawa</t>
        </is>
      </c>
    </row>
    <row r="96">
      <c r="A96" t="inlineStr">
        <is>
          <t xml:space="preserve">Kevin Andre Lawson</t>
        </is>
      </c>
      <c r="B96" s="40">
        <v>4721836590214</v>
      </c>
      <c r="C96" t="inlineStr">
        <is>
          <t xml:space="preserve">P</t>
        </is>
      </c>
      <c r="D96" s="78">
        <f>D95+F96-G96</f>
      </c>
      <c r="E96" s="1">
        <v>46213</v>
      </c>
      <c r="F96" s="82">
        <v>382.48</v>
      </c>
      <c r="G96" s="82">
        <v>0</v>
      </c>
      <c r="H96" t="inlineStr">
        <is>
          <t xml:space="preserve">ACH</t>
        </is>
      </c>
      <c r="I96" t="inlineStr">
        <is>
          <t xml:space="preserve">C</t>
        </is>
      </c>
      <c r="J96" t="inlineStr">
        <is>
          <t xml:space="preserve">Untagged</t>
        </is>
      </c>
      <c r="K96" t="inlineStr">
        <is>
          <t xml:space="preserve">Payroll deposit</t>
        </is>
      </c>
      <c r="U96" s="1">
        <v>46213</v>
      </c>
      <c r="V96" t="inlineStr">
        <is>
          <t xml:space="preserve">Walmart Inc.</t>
        </is>
      </c>
      <c r="W96" t="inlineStr">
        <is>
          <t xml:space="preserve">JPMorgan Chase</t>
        </is>
      </c>
      <c r="X96" s="77" t="inlineStr">
        <is>
          <t xml:space="preserve">PAYROLL-WMT-0710</t>
        </is>
      </c>
      <c r="Y96" t="inlineStr">
        <is>
          <t xml:space="preserve">Kevin Andre Lawson</t>
        </is>
      </c>
      <c r="Z96" t="inlineStr">
        <is>
          <t xml:space="preserve">Bank of America</t>
        </is>
      </c>
      <c r="AA96" s="77" t="inlineStr">
        <is>
          <t xml:space="preserve">4721836590214</t>
        </is>
      </c>
    </row>
    <row r="97">
      <c r="A97" t="inlineStr">
        <is>
          <t xml:space="preserve">Kevin Andre Lawson</t>
        </is>
      </c>
      <c r="B97" s="40">
        <v>4721836590214</v>
      </c>
      <c r="C97" t="inlineStr">
        <is>
          <t xml:space="preserve">P</t>
        </is>
      </c>
      <c r="D97" s="78">
        <f>D96+F97-G97</f>
      </c>
      <c r="E97" s="1">
        <v>46213</v>
      </c>
      <c r="F97" s="82">
        <v>350.0</v>
      </c>
      <c r="G97" s="82">
        <v>0</v>
      </c>
      <c r="H97" t="inlineStr">
        <is>
          <t xml:space="preserve">P2P</t>
        </is>
      </c>
      <c r="I97" t="inlineStr">
        <is>
          <t xml:space="preserve">C</t>
        </is>
      </c>
      <c r="J97" t="inlineStr">
        <is>
          <t xml:space="preserve">Untagged</t>
        </is>
      </c>
      <c r="K97" t="inlineStr">
        <is>
          <t xml:space="preserve">Zelle received</t>
        </is>
      </c>
      <c r="T97" s="81">
        <v>0.8270833333333333</v>
      </c>
      <c r="U97" s="1">
        <v>46213</v>
      </c>
      <c r="V97" t="inlineStr">
        <is>
          <t xml:space="preserve">Sofia Delgado</t>
        </is>
      </c>
      <c r="W97" t="inlineStr">
        <is>
          <t xml:space="preserve">TD Bank</t>
        </is>
      </c>
      <c r="X97" s="77" t="inlineStr">
        <is>
          <t xml:space="preserve">ZELLE-S-1115</t>
        </is>
      </c>
      <c r="Y97" t="inlineStr">
        <is>
          <t xml:space="preserve">Kevin Andre Lawson</t>
        </is>
      </c>
      <c r="Z97" t="inlineStr">
        <is>
          <t xml:space="preserve">Bank of America</t>
        </is>
      </c>
      <c r="AA97" s="77" t="inlineStr">
        <is>
          <t xml:space="preserve">4721836590214</t>
        </is>
      </c>
      <c r="AB97" t="inlineStr">
        <is>
          <t xml:space="preserve">Payment</t>
        </is>
      </c>
    </row>
    <row r="98">
      <c r="A98" t="inlineStr">
        <is>
          <t xml:space="preserve">Kevin Andre Lawson</t>
        </is>
      </c>
      <c r="B98" s="40">
        <v>4721836590214</v>
      </c>
      <c r="C98" t="inlineStr">
        <is>
          <t xml:space="preserve">P</t>
        </is>
      </c>
      <c r="D98" s="78">
        <f>D97+F98-G98</f>
      </c>
      <c r="E98" s="1">
        <v>46213</v>
      </c>
      <c r="F98" s="82">
        <v>0</v>
      </c>
      <c r="G98" s="82">
        <v>69.25</v>
      </c>
      <c r="H98" t="inlineStr">
        <is>
          <t xml:space="preserve">Debit Card</t>
        </is>
      </c>
      <c r="I98" t="inlineStr">
        <is>
          <t xml:space="preserve">D</t>
        </is>
      </c>
      <c r="J98" t="inlineStr">
        <is>
          <t xml:space="preserve">Untagged</t>
        </is>
      </c>
      <c r="K98" t="inlineStr">
        <is>
          <t xml:space="preserve">Publix Super Market</t>
        </is>
      </c>
      <c r="L98" t="inlineStr">
        <is>
          <t xml:space="preserve">4128 5530 9187 2264</t>
        </is>
      </c>
      <c r="N98" t="inlineStr">
        <is>
          <t xml:space="preserve">Orlando</t>
        </is>
      </c>
      <c r="O98" t="inlineStr">
        <is>
          <t xml:space="preserve">FL</t>
        </is>
      </c>
      <c r="P98">
        <v>32839</v>
      </c>
      <c r="S98" t="inlineStr">
        <is>
          <t xml:space="preserve">POS-ORL-1557</t>
        </is>
      </c>
      <c r="T98" s="81">
        <v>0.5409722222222222</v>
      </c>
      <c r="U98" s="1">
        <v>46214</v>
      </c>
      <c r="V98" t="inlineStr">
        <is>
          <t xml:space="preserve">Kevin Andre Lawson</t>
        </is>
      </c>
      <c r="W98" t="inlineStr">
        <is>
          <t xml:space="preserve">Bank of America</t>
        </is>
      </c>
      <c r="X98" s="77" t="inlineStr">
        <is>
          <t xml:space="preserve">4721836590214</t>
        </is>
      </c>
      <c r="Y98" t="inlineStr">
        <is>
          <t xml:space="preserve">Publix Super Market</t>
        </is>
      </c>
    </row>
    <row r="99">
      <c r="A99" t="inlineStr">
        <is>
          <t xml:space="preserve">Kevin Andre Lawson</t>
        </is>
      </c>
      <c r="B99" s="40">
        <v>4721836590214</v>
      </c>
      <c r="C99" t="inlineStr">
        <is>
          <t xml:space="preserve">P</t>
        </is>
      </c>
      <c r="D99" s="78">
        <f>D98+F99-G99</f>
      </c>
      <c r="E99" s="1">
        <v>46215</v>
      </c>
      <c r="F99" s="82">
        <v>0</v>
      </c>
      <c r="G99" s="82">
        <v>117.57</v>
      </c>
      <c r="H99" t="inlineStr">
        <is>
          <t xml:space="preserve">ACH</t>
        </is>
      </c>
      <c r="I99" t="inlineStr">
        <is>
          <t xml:space="preserve">D</t>
        </is>
      </c>
      <c r="J99" t="inlineStr">
        <is>
          <t xml:space="preserve">Untagged</t>
        </is>
      </c>
      <c r="K99" t="inlineStr">
        <is>
          <t xml:space="preserve">Electric &amp; water utility</t>
        </is>
      </c>
      <c r="N99" t="inlineStr">
        <is>
          <t xml:space="preserve">Orlando</t>
        </is>
      </c>
      <c r="O99" t="inlineStr">
        <is>
          <t xml:space="preserve">FL</t>
        </is>
      </c>
      <c r="P99">
        <v>32839</v>
      </c>
      <c r="U99" s="1">
        <v>46215</v>
      </c>
      <c r="V99" t="inlineStr">
        <is>
          <t xml:space="preserve">Kevin Andre Lawson</t>
        </is>
      </c>
      <c r="W99" t="inlineStr">
        <is>
          <t xml:space="preserve">Bank of America</t>
        </is>
      </c>
      <c r="X99" s="77" t="inlineStr">
        <is>
          <t xml:space="preserve">4721836590214</t>
        </is>
      </c>
      <c r="Y99" t="inlineStr">
        <is>
          <t xml:space="preserve">Orlando Utilities Commission</t>
        </is>
      </c>
      <c r="Z99" t="inlineStr">
        <is>
          <t xml:space="preserve">Wells Fargo</t>
        </is>
      </c>
      <c r="AA99" s="77" t="inlineStr">
        <is>
          <t xml:space="preserve">UTIL-OUC</t>
        </is>
      </c>
    </row>
    <row r="100">
      <c r="A100" t="inlineStr">
        <is>
          <t xml:space="preserve">Kevin Andre Lawson</t>
        </is>
      </c>
      <c r="B100" s="40">
        <v>4721836590214</v>
      </c>
      <c r="C100" t="inlineStr">
        <is>
          <t xml:space="preserve">P</t>
        </is>
      </c>
      <c r="D100" s="78">
        <f>D99+F100-G100</f>
      </c>
      <c r="E100" s="1">
        <v>46216</v>
      </c>
      <c r="F100" s="82">
        <v>0</v>
      </c>
      <c r="G100" s="82">
        <v>76.89</v>
      </c>
      <c r="H100" t="inlineStr">
        <is>
          <t xml:space="preserve">Debit Card</t>
        </is>
      </c>
      <c r="I100" t="inlineStr">
        <is>
          <t xml:space="preserve">D</t>
        </is>
      </c>
      <c r="J100" t="inlineStr">
        <is>
          <t xml:space="preserve">Untagged</t>
        </is>
      </c>
      <c r="K100" t="inlineStr">
        <is>
          <t xml:space="preserve">Publix Super Market</t>
        </is>
      </c>
      <c r="L100" t="inlineStr">
        <is>
          <t xml:space="preserve">4128 5530 9187 2264</t>
        </is>
      </c>
      <c r="N100" t="inlineStr">
        <is>
          <t xml:space="preserve">Orlando</t>
        </is>
      </c>
      <c r="O100" t="inlineStr">
        <is>
          <t xml:space="preserve">FL</t>
        </is>
      </c>
      <c r="P100">
        <v>32839</v>
      </c>
      <c r="S100" t="inlineStr">
        <is>
          <t xml:space="preserve">POS-ORL-1772</t>
        </is>
      </c>
      <c r="T100" s="81">
        <v>0.8104166666666667</v>
      </c>
      <c r="U100" s="1">
        <v>46217</v>
      </c>
      <c r="V100" t="inlineStr">
        <is>
          <t xml:space="preserve">Kevin Andre Lawson</t>
        </is>
      </c>
      <c r="W100" t="inlineStr">
        <is>
          <t xml:space="preserve">Bank of America</t>
        </is>
      </c>
      <c r="X100" s="77" t="inlineStr">
        <is>
          <t xml:space="preserve">4721836590214</t>
        </is>
      </c>
      <c r="Y100" t="inlineStr">
        <is>
          <t xml:space="preserve">Publix Super Market</t>
        </is>
      </c>
    </row>
    <row r="101">
      <c r="A101" t="inlineStr">
        <is>
          <t xml:space="preserve">Kevin Andre Lawson</t>
        </is>
      </c>
      <c r="B101" s="40">
        <v>4721836590214</v>
      </c>
      <c r="C101" t="inlineStr">
        <is>
          <t xml:space="preserve">P</t>
        </is>
      </c>
      <c r="D101" s="78">
        <f>D100+F101-G101</f>
      </c>
      <c r="E101" s="1">
        <v>46220</v>
      </c>
      <c r="F101" s="82">
        <v>384.46</v>
      </c>
      <c r="G101" s="82">
        <v>0</v>
      </c>
      <c r="H101" t="inlineStr">
        <is>
          <t xml:space="preserve">ACH</t>
        </is>
      </c>
      <c r="I101" t="inlineStr">
        <is>
          <t xml:space="preserve">C</t>
        </is>
      </c>
      <c r="J101" t="inlineStr">
        <is>
          <t xml:space="preserve">Untagged</t>
        </is>
      </c>
      <c r="K101" t="inlineStr">
        <is>
          <t xml:space="preserve">Payroll deposit</t>
        </is>
      </c>
      <c r="U101" s="1">
        <v>46220</v>
      </c>
      <c r="V101" t="inlineStr">
        <is>
          <t xml:space="preserve">Walmart Inc.</t>
        </is>
      </c>
      <c r="W101" t="inlineStr">
        <is>
          <t xml:space="preserve">JPMorgan Chase</t>
        </is>
      </c>
      <c r="X101" s="77" t="inlineStr">
        <is>
          <t xml:space="preserve">PAYROLL-WMT-0717</t>
        </is>
      </c>
      <c r="Y101" t="inlineStr">
        <is>
          <t xml:space="preserve">Kevin Andre Lawson</t>
        </is>
      </c>
      <c r="Z101" t="inlineStr">
        <is>
          <t xml:space="preserve">Bank of America</t>
        </is>
      </c>
      <c r="AA101" s="77" t="inlineStr">
        <is>
          <t xml:space="preserve">4721836590214</t>
        </is>
      </c>
    </row>
    <row r="102">
      <c r="A102" t="inlineStr">
        <is>
          <t xml:space="preserve">Kevin Andre Lawson</t>
        </is>
      </c>
      <c r="B102" s="40">
        <v>4721836590214</v>
      </c>
      <c r="C102" t="inlineStr">
        <is>
          <t xml:space="preserve">P</t>
        </is>
      </c>
      <c r="D102" s="78">
        <f>D101+F102-G102</f>
      </c>
      <c r="E102" s="1">
        <v>46220</v>
      </c>
      <c r="F102" s="82">
        <v>400.0</v>
      </c>
      <c r="G102" s="82">
        <v>0</v>
      </c>
      <c r="H102" t="inlineStr">
        <is>
          <t xml:space="preserve">P2P</t>
        </is>
      </c>
      <c r="I102" t="inlineStr">
        <is>
          <t xml:space="preserve">C</t>
        </is>
      </c>
      <c r="J102" t="inlineStr">
        <is>
          <t xml:space="preserve">Untagged</t>
        </is>
      </c>
      <c r="K102" t="inlineStr">
        <is>
          <t xml:space="preserve">Zelle received</t>
        </is>
      </c>
      <c r="T102" s="81">
        <v>0.6402777777777777</v>
      </c>
      <c r="U102" s="1">
        <v>46220</v>
      </c>
      <c r="V102" t="inlineStr">
        <is>
          <t xml:space="preserve">Omar Haddad</t>
        </is>
      </c>
      <c r="W102" t="inlineStr">
        <is>
          <t xml:space="preserve">Bank of America</t>
        </is>
      </c>
      <c r="X102" s="77" t="inlineStr">
        <is>
          <t xml:space="preserve">ZELLE-S-1112</t>
        </is>
      </c>
      <c r="Y102" t="inlineStr">
        <is>
          <t xml:space="preserve">Kevin Andre Lawson</t>
        </is>
      </c>
      <c r="Z102" t="inlineStr">
        <is>
          <t xml:space="preserve">Bank of America</t>
        </is>
      </c>
      <c r="AA102" s="77" t="inlineStr">
        <is>
          <t xml:space="preserve">4721836590214</t>
        </is>
      </c>
    </row>
    <row r="103">
      <c r="A103" t="inlineStr">
        <is>
          <t xml:space="preserve">Kevin Andre Lawson</t>
        </is>
      </c>
      <c r="B103" s="40">
        <v>4721836590214</v>
      </c>
      <c r="C103" t="inlineStr">
        <is>
          <t xml:space="preserve">P</t>
        </is>
      </c>
      <c r="D103" s="78">
        <f>D102+F103-G103</f>
      </c>
      <c r="E103" s="1">
        <v>46221</v>
      </c>
      <c r="F103" s="82">
        <v>500.0</v>
      </c>
      <c r="G103" s="82">
        <v>0</v>
      </c>
      <c r="H103" t="inlineStr">
        <is>
          <t xml:space="preserve">P2P</t>
        </is>
      </c>
      <c r="I103" t="inlineStr">
        <is>
          <t xml:space="preserve">C</t>
        </is>
      </c>
      <c r="J103" t="inlineStr">
        <is>
          <t xml:space="preserve">Untagged</t>
        </is>
      </c>
      <c r="K103" t="inlineStr">
        <is>
          <t xml:space="preserve">Zelle received</t>
        </is>
      </c>
      <c r="T103" s="81">
        <v>0.5208333333333334</v>
      </c>
      <c r="U103" s="1">
        <v>46221</v>
      </c>
      <c r="V103" t="inlineStr">
        <is>
          <t xml:space="preserve">Tasha Greene</t>
        </is>
      </c>
      <c r="W103" t="inlineStr">
        <is>
          <t xml:space="preserve">Wells Fargo</t>
        </is>
      </c>
      <c r="X103" s="77" t="inlineStr">
        <is>
          <t xml:space="preserve">ZELLE-S-1101</t>
        </is>
      </c>
      <c r="Y103" t="inlineStr">
        <is>
          <t xml:space="preserve">Kevin Andre Lawson</t>
        </is>
      </c>
      <c r="Z103" t="inlineStr">
        <is>
          <t xml:space="preserve">Bank of America</t>
        </is>
      </c>
      <c r="AA103" s="77" t="inlineStr">
        <is>
          <t xml:space="preserve">4721836590214</t>
        </is>
      </c>
      <c r="AB103" t="inlineStr">
        <is>
          <t xml:space="preserve">For you</t>
        </is>
      </c>
    </row>
    <row r="104">
      <c r="A104" t="inlineStr">
        <is>
          <t xml:space="preserve">Kevin Andre Lawson</t>
        </is>
      </c>
      <c r="B104" s="40">
        <v>4721836590214</v>
      </c>
      <c r="C104" t="inlineStr">
        <is>
          <t xml:space="preserve">P</t>
        </is>
      </c>
      <c r="D104" s="78">
        <f>D103+F104-G104</f>
      </c>
      <c r="E104" s="1">
        <v>46221</v>
      </c>
      <c r="F104" s="82">
        <v>0</v>
      </c>
      <c r="G104" s="82">
        <v>55.0</v>
      </c>
      <c r="H104" t="inlineStr">
        <is>
          <t xml:space="preserve">ACH</t>
        </is>
      </c>
      <c r="I104" t="inlineStr">
        <is>
          <t xml:space="preserve">D</t>
        </is>
      </c>
      <c r="J104" t="inlineStr">
        <is>
          <t xml:space="preserve">Untagged</t>
        </is>
      </c>
      <c r="K104" t="inlineStr">
        <is>
          <t xml:space="preserve">Mobile phone bill</t>
        </is>
      </c>
      <c r="N104" t="inlineStr">
        <is>
          <t xml:space="preserve">Orlando</t>
        </is>
      </c>
      <c r="O104" t="inlineStr">
        <is>
          <t xml:space="preserve">FL</t>
        </is>
      </c>
      <c r="P104">
        <v>32839</v>
      </c>
      <c r="U104" s="1">
        <v>46221</v>
      </c>
      <c r="V104" t="inlineStr">
        <is>
          <t xml:space="preserve">Kevin Andre Lawson</t>
        </is>
      </c>
      <c r="W104" t="inlineStr">
        <is>
          <t xml:space="preserve">Bank of America</t>
        </is>
      </c>
      <c r="X104" s="77" t="inlineStr">
        <is>
          <t xml:space="preserve">4721836590214</t>
        </is>
      </c>
      <c r="Y104" t="inlineStr">
        <is>
          <t xml:space="preserve">T-Mobile</t>
        </is>
      </c>
      <c r="Z104" t="inlineStr">
        <is>
          <t xml:space="preserve">Citibank</t>
        </is>
      </c>
      <c r="AA104" s="77" t="inlineStr">
        <is>
          <t xml:space="preserve">UTIL-TMO</t>
        </is>
      </c>
    </row>
    <row r="105">
      <c r="A105" t="inlineStr">
        <is>
          <t xml:space="preserve">Kevin Andre Lawson</t>
        </is>
      </c>
      <c r="B105" s="40">
        <v>4721836590214</v>
      </c>
      <c r="C105" t="inlineStr">
        <is>
          <t xml:space="preserve">P</t>
        </is>
      </c>
      <c r="D105" s="78">
        <f>D104+F105-G105</f>
      </c>
      <c r="E105" s="1">
        <v>46224</v>
      </c>
      <c r="F105" s="82">
        <v>480.0</v>
      </c>
      <c r="G105" s="82">
        <v>0</v>
      </c>
      <c r="H105" t="inlineStr">
        <is>
          <t xml:space="preserve">P2P</t>
        </is>
      </c>
      <c r="I105" t="inlineStr">
        <is>
          <t xml:space="preserve">C</t>
        </is>
      </c>
      <c r="J105" t="inlineStr">
        <is>
          <t xml:space="preserve">Untagged</t>
        </is>
      </c>
      <c r="K105" t="inlineStr">
        <is>
          <t xml:space="preserve">Zelle received</t>
        </is>
      </c>
      <c r="T105" s="81">
        <v>0.7236111111111111</v>
      </c>
      <c r="U105" s="1">
        <v>46224</v>
      </c>
      <c r="V105" t="inlineStr">
        <is>
          <t xml:space="preserve">Omar Haddad</t>
        </is>
      </c>
      <c r="W105" t="inlineStr">
        <is>
          <t xml:space="preserve">Bank of America</t>
        </is>
      </c>
      <c r="X105" s="77" t="inlineStr">
        <is>
          <t xml:space="preserve">ZELLE-S-1112</t>
        </is>
      </c>
      <c r="Y105" t="inlineStr">
        <is>
          <t xml:space="preserve">Kevin Andre Lawson</t>
        </is>
      </c>
      <c r="Z105" t="inlineStr">
        <is>
          <t xml:space="preserve">Bank of America</t>
        </is>
      </c>
      <c r="AA105" s="77" t="inlineStr">
        <is>
          <t xml:space="preserve">4721836590214</t>
        </is>
      </c>
      <c r="AB105" t="inlineStr">
        <is>
          <t xml:space="preserve">Sent</t>
        </is>
      </c>
    </row>
    <row r="106">
      <c r="A106" t="inlineStr">
        <is>
          <t xml:space="preserve">Kevin Andre Lawson</t>
        </is>
      </c>
      <c r="B106" s="40">
        <v>4721836590214</v>
      </c>
      <c r="C106" t="inlineStr">
        <is>
          <t xml:space="preserve">P</t>
        </is>
      </c>
      <c r="D106" s="78">
        <f>D105+F106-G106</f>
      </c>
      <c r="E106" s="1">
        <v>46225</v>
      </c>
      <c r="F106" s="82">
        <v>0</v>
      </c>
      <c r="G106" s="82">
        <v>112.4</v>
      </c>
      <c r="H106" t="inlineStr">
        <is>
          <t xml:space="preserve">ACH</t>
        </is>
      </c>
      <c r="I106" t="inlineStr">
        <is>
          <t xml:space="preserve">D</t>
        </is>
      </c>
      <c r="J106" t="inlineStr">
        <is>
          <t xml:space="preserve">Untagged</t>
        </is>
      </c>
      <c r="K106" t="inlineStr">
        <is>
          <t xml:space="preserve">Auto insurance premium</t>
        </is>
      </c>
      <c r="N106" t="inlineStr">
        <is>
          <t xml:space="preserve">Orlando</t>
        </is>
      </c>
      <c r="O106" t="inlineStr">
        <is>
          <t xml:space="preserve">FL</t>
        </is>
      </c>
      <c r="P106">
        <v>32839</v>
      </c>
      <c r="U106" s="1">
        <v>46225</v>
      </c>
      <c r="V106" t="inlineStr">
        <is>
          <t xml:space="preserve">Kevin Andre Lawson</t>
        </is>
      </c>
      <c r="W106" t="inlineStr">
        <is>
          <t xml:space="preserve">Bank of America</t>
        </is>
      </c>
      <c r="X106" s="77" t="inlineStr">
        <is>
          <t xml:space="preserve">4721836590214</t>
        </is>
      </c>
      <c r="Y106" t="inlineStr">
        <is>
          <t xml:space="preserve">GEICO</t>
        </is>
      </c>
      <c r="Z106" t="inlineStr">
        <is>
          <t xml:space="preserve">Bank of America</t>
        </is>
      </c>
      <c r="AA106" s="77" t="inlineStr">
        <is>
          <t xml:space="preserve">INS-GEICO</t>
        </is>
      </c>
    </row>
    <row r="107">
      <c r="A107" t="inlineStr">
        <is>
          <t xml:space="preserve">Kevin Andre Lawson</t>
        </is>
      </c>
      <c r="B107" s="40">
        <v>4721836590214</v>
      </c>
      <c r="C107" t="inlineStr">
        <is>
          <t xml:space="preserve">P</t>
        </is>
      </c>
      <c r="D107" s="78">
        <f>D106+F107-G107</f>
      </c>
      <c r="E107" s="1">
        <v>46226</v>
      </c>
      <c r="F107" s="82">
        <v>320.0</v>
      </c>
      <c r="G107" s="82">
        <v>0</v>
      </c>
      <c r="H107" t="inlineStr">
        <is>
          <t xml:space="preserve">P2P</t>
        </is>
      </c>
      <c r="I107" t="inlineStr">
        <is>
          <t xml:space="preserve">C</t>
        </is>
      </c>
      <c r="J107" t="inlineStr">
        <is>
          <t xml:space="preserve">Untagged</t>
        </is>
      </c>
      <c r="K107" t="inlineStr">
        <is>
          <t xml:space="preserve">Zelle received</t>
        </is>
      </c>
      <c r="T107" s="81">
        <v>0.38472222222222224</v>
      </c>
      <c r="U107" s="1">
        <v>46226</v>
      </c>
      <c r="V107" t="inlineStr">
        <is>
          <t xml:space="preserve">Darnell Price</t>
        </is>
      </c>
      <c r="W107" t="inlineStr">
        <is>
          <t xml:space="preserve">Regions Bank</t>
        </is>
      </c>
      <c r="X107" s="77" t="inlineStr">
        <is>
          <t xml:space="preserve">ZELLE-S-1122</t>
        </is>
      </c>
      <c r="Y107" t="inlineStr">
        <is>
          <t xml:space="preserve">Kevin Andre Lawson</t>
        </is>
      </c>
      <c r="Z107" t="inlineStr">
        <is>
          <t xml:space="preserve">Bank of America</t>
        </is>
      </c>
      <c r="AA107" s="77" t="inlineStr">
        <is>
          <t xml:space="preserve">4721836590214</t>
        </is>
      </c>
    </row>
    <row r="108">
      <c r="A108" t="inlineStr">
        <is>
          <t xml:space="preserve">Kevin Andre Lawson</t>
        </is>
      </c>
      <c r="B108" s="40">
        <v>4721836590214</v>
      </c>
      <c r="C108" t="inlineStr">
        <is>
          <t xml:space="preserve">P</t>
        </is>
      </c>
      <c r="D108" s="78">
        <f>D107+F108-G108</f>
      </c>
      <c r="E108" s="1">
        <v>46227</v>
      </c>
      <c r="F108" s="82">
        <v>392.55</v>
      </c>
      <c r="G108" s="82">
        <v>0</v>
      </c>
      <c r="H108" t="inlineStr">
        <is>
          <t xml:space="preserve">ACH</t>
        </is>
      </c>
      <c r="I108" t="inlineStr">
        <is>
          <t xml:space="preserve">C</t>
        </is>
      </c>
      <c r="J108" t="inlineStr">
        <is>
          <t xml:space="preserve">Untagged</t>
        </is>
      </c>
      <c r="K108" t="inlineStr">
        <is>
          <t xml:space="preserve">Payroll deposit</t>
        </is>
      </c>
      <c r="U108" s="1">
        <v>46227</v>
      </c>
      <c r="V108" t="inlineStr">
        <is>
          <t xml:space="preserve">Walmart Inc.</t>
        </is>
      </c>
      <c r="W108" t="inlineStr">
        <is>
          <t xml:space="preserve">JPMorgan Chase</t>
        </is>
      </c>
      <c r="X108" s="77" t="inlineStr">
        <is>
          <t xml:space="preserve">PAYROLL-WMT-0724</t>
        </is>
      </c>
      <c r="Y108" t="inlineStr">
        <is>
          <t xml:space="preserve">Kevin Andre Lawson</t>
        </is>
      </c>
      <c r="Z108" t="inlineStr">
        <is>
          <t xml:space="preserve">Bank of America</t>
        </is>
      </c>
      <c r="AA108" s="77" t="inlineStr">
        <is>
          <t xml:space="preserve">4721836590214</t>
        </is>
      </c>
    </row>
    <row r="109">
      <c r="A109" t="inlineStr">
        <is>
          <t xml:space="preserve">Kevin Andre Lawson</t>
        </is>
      </c>
      <c r="B109" s="40">
        <v>4721836590214</v>
      </c>
      <c r="C109" t="inlineStr">
        <is>
          <t xml:space="preserve">P</t>
        </is>
      </c>
      <c r="D109" s="78">
        <f>D108+F109-G109</f>
      </c>
      <c r="E109" s="1">
        <v>46227</v>
      </c>
      <c r="F109" s="82">
        <v>0</v>
      </c>
      <c r="G109" s="82">
        <v>30.26</v>
      </c>
      <c r="H109" t="inlineStr">
        <is>
          <t xml:space="preserve">Debit Card</t>
        </is>
      </c>
      <c r="I109" t="inlineStr">
        <is>
          <t xml:space="preserve">D</t>
        </is>
      </c>
      <c r="J109" t="inlineStr">
        <is>
          <t xml:space="preserve">Untagged</t>
        </is>
      </c>
      <c r="K109" t="inlineStr">
        <is>
          <t xml:space="preserve">Wawa fuel</t>
        </is>
      </c>
      <c r="L109" t="inlineStr">
        <is>
          <t xml:space="preserve">4128 5530 9187 2264</t>
        </is>
      </c>
      <c r="N109" t="inlineStr">
        <is>
          <t xml:space="preserve">Orlando</t>
        </is>
      </c>
      <c r="O109" t="inlineStr">
        <is>
          <t xml:space="preserve">FL</t>
        </is>
      </c>
      <c r="P109">
        <v>32839</v>
      </c>
      <c r="S109" t="inlineStr">
        <is>
          <t xml:space="preserve">POS-ORL-2900</t>
        </is>
      </c>
      <c r="T109" s="81">
        <v>0.7409722222222223</v>
      </c>
      <c r="U109" s="1">
        <v>46228</v>
      </c>
      <c r="V109" t="inlineStr">
        <is>
          <t xml:space="preserve">Kevin Andre Lawson</t>
        </is>
      </c>
      <c r="W109" t="inlineStr">
        <is>
          <t xml:space="preserve">Bank of America</t>
        </is>
      </c>
      <c r="X109" s="77" t="inlineStr">
        <is>
          <t xml:space="preserve">4721836590214</t>
        </is>
      </c>
      <c r="Y109" t="inlineStr">
        <is>
          <t xml:space="preserve">Wawa</t>
        </is>
      </c>
    </row>
    <row r="110">
      <c r="A110" t="inlineStr">
        <is>
          <t xml:space="preserve">Kevin Andre Lawson</t>
        </is>
      </c>
      <c r="B110" s="40">
        <v>4721836590214</v>
      </c>
      <c r="C110" t="inlineStr">
        <is>
          <t xml:space="preserve">P</t>
        </is>
      </c>
      <c r="D110" s="78">
        <f>D109+F110-G110</f>
      </c>
      <c r="E110" s="1">
        <v>46228</v>
      </c>
      <c r="F110" s="82">
        <v>375.0</v>
      </c>
      <c r="G110" s="82">
        <v>0</v>
      </c>
      <c r="H110" t="inlineStr">
        <is>
          <t xml:space="preserve">P2P</t>
        </is>
      </c>
      <c r="I110" t="inlineStr">
        <is>
          <t xml:space="preserve">C</t>
        </is>
      </c>
      <c r="J110" t="inlineStr">
        <is>
          <t xml:space="preserve">Untagged</t>
        </is>
      </c>
      <c r="K110" t="inlineStr">
        <is>
          <t xml:space="preserve">Zelle received</t>
        </is>
      </c>
      <c r="T110" s="81">
        <v>0.47291666666666665</v>
      </c>
      <c r="U110" s="1">
        <v>46228</v>
      </c>
      <c r="V110" t="inlineStr">
        <is>
          <t xml:space="preserve">Tyrone Bell</t>
        </is>
      </c>
      <c r="W110" t="inlineStr">
        <is>
          <t xml:space="preserve">Capital One</t>
        </is>
      </c>
      <c r="X110" s="77" t="inlineStr">
        <is>
          <t xml:space="preserve">ZELLE-S-1114</t>
        </is>
      </c>
      <c r="Y110" t="inlineStr">
        <is>
          <t xml:space="preserve">Kevin Andre Lawson</t>
        </is>
      </c>
      <c r="Z110" t="inlineStr">
        <is>
          <t xml:space="preserve">Bank of America</t>
        </is>
      </c>
      <c r="AA110" s="77" t="inlineStr">
        <is>
          <t xml:space="preserve">4721836590214</t>
        </is>
      </c>
      <c r="AB110" t="inlineStr">
        <is>
          <t xml:space="preserve">Payment</t>
        </is>
      </c>
    </row>
    <row r="111">
      <c r="A111" t="inlineStr">
        <is>
          <t xml:space="preserve">Kevin Andre Lawson</t>
        </is>
      </c>
      <c r="B111" s="40">
        <v>4721836590214</v>
      </c>
      <c r="C111" t="inlineStr">
        <is>
          <t xml:space="preserve">P</t>
        </is>
      </c>
      <c r="D111" s="78">
        <f>D110+F111-G111</f>
      </c>
      <c r="E111" s="1">
        <v>46229</v>
      </c>
      <c r="F111" s="82">
        <v>425.0</v>
      </c>
      <c r="G111" s="82">
        <v>0</v>
      </c>
      <c r="H111" t="inlineStr">
        <is>
          <t xml:space="preserve">P2P</t>
        </is>
      </c>
      <c r="I111" t="inlineStr">
        <is>
          <t xml:space="preserve">C</t>
        </is>
      </c>
      <c r="J111" t="inlineStr">
        <is>
          <t xml:space="preserve">Untagged</t>
        </is>
      </c>
      <c r="K111" t="inlineStr">
        <is>
          <t xml:space="preserve">Zelle received</t>
        </is>
      </c>
      <c r="T111" s="81">
        <v>0.7451388888888889</v>
      </c>
      <c r="U111" s="1">
        <v>46229</v>
      </c>
      <c r="V111" t="inlineStr">
        <is>
          <t xml:space="preserve">Samuel Okafor</t>
        </is>
      </c>
      <c r="W111" t="inlineStr">
        <is>
          <t xml:space="preserve">Bank of America</t>
        </is>
      </c>
      <c r="X111" s="77" t="inlineStr">
        <is>
          <t xml:space="preserve">ZELLE-S-1130</t>
        </is>
      </c>
      <c r="Y111" t="inlineStr">
        <is>
          <t xml:space="preserve">Kevin Andre Lawson</t>
        </is>
      </c>
      <c r="Z111" t="inlineStr">
        <is>
          <t xml:space="preserve">Bank of America</t>
        </is>
      </c>
      <c r="AA111" s="77" t="inlineStr">
        <is>
          <t xml:space="preserve">4721836590214</t>
        </is>
      </c>
    </row>
    <row r="112">
      <c r="A112" t="inlineStr">
        <is>
          <t xml:space="preserve">Kevin Andre Lawson</t>
        </is>
      </c>
      <c r="B112" s="40">
        <v>4721836590214</v>
      </c>
      <c r="C112" t="inlineStr">
        <is>
          <t xml:space="preserve">P</t>
        </is>
      </c>
      <c r="D112" s="78">
        <f>D111+F112-G112</f>
      </c>
      <c r="E112" s="1">
        <v>46230</v>
      </c>
      <c r="F112" s="82">
        <v>0</v>
      </c>
      <c r="G112" s="82">
        <v>70.93</v>
      </c>
      <c r="H112" t="inlineStr">
        <is>
          <t xml:space="preserve">Debit Card</t>
        </is>
      </c>
      <c r="I112" t="inlineStr">
        <is>
          <t xml:space="preserve">D</t>
        </is>
      </c>
      <c r="J112" t="inlineStr">
        <is>
          <t xml:space="preserve">Untagged</t>
        </is>
      </c>
      <c r="K112" t="inlineStr">
        <is>
          <t xml:space="preserve">Walmart Supercenter</t>
        </is>
      </c>
      <c r="L112" t="inlineStr">
        <is>
          <t xml:space="preserve">4128 5530 9187 2264</t>
        </is>
      </c>
      <c r="N112" t="inlineStr">
        <is>
          <t xml:space="preserve">Orlando</t>
        </is>
      </c>
      <c r="O112" t="inlineStr">
        <is>
          <t xml:space="preserve">FL</t>
        </is>
      </c>
      <c r="P112">
        <v>32839</v>
      </c>
      <c r="S112" t="inlineStr">
        <is>
          <t xml:space="preserve">POS-ORL-1415</t>
        </is>
      </c>
      <c r="T112" s="81">
        <v>0.6472222222222223</v>
      </c>
      <c r="U112" s="1">
        <v>46231</v>
      </c>
      <c r="V112" t="inlineStr">
        <is>
          <t xml:space="preserve">Kevin Andre Lawson</t>
        </is>
      </c>
      <c r="W112" t="inlineStr">
        <is>
          <t xml:space="preserve">Bank of America</t>
        </is>
      </c>
      <c r="X112" s="77" t="inlineStr">
        <is>
          <t xml:space="preserve">4721836590214</t>
        </is>
      </c>
      <c r="Y112" t="inlineStr">
        <is>
          <t xml:space="preserve">Walmart Supercenter</t>
        </is>
      </c>
    </row>
    <row r="113">
      <c r="A113" t="inlineStr">
        <is>
          <t xml:space="preserve">Kevin Andre Lawson</t>
        </is>
      </c>
      <c r="B113" s="40">
        <v>4721836590214</v>
      </c>
      <c r="C113" t="inlineStr">
        <is>
          <t xml:space="preserve">P</t>
        </is>
      </c>
      <c r="D113" s="78">
        <f>D112+F113-G113</f>
      </c>
      <c r="E113" s="1">
        <v>46234</v>
      </c>
      <c r="F113" s="82">
        <v>398.95</v>
      </c>
      <c r="G113" s="82">
        <v>0</v>
      </c>
      <c r="H113" t="inlineStr">
        <is>
          <t xml:space="preserve">ACH</t>
        </is>
      </c>
      <c r="I113" t="inlineStr">
        <is>
          <t xml:space="preserve">C</t>
        </is>
      </c>
      <c r="J113" t="inlineStr">
        <is>
          <t xml:space="preserve">Untagged</t>
        </is>
      </c>
      <c r="K113" t="inlineStr">
        <is>
          <t xml:space="preserve">Payroll deposit</t>
        </is>
      </c>
      <c r="U113" s="1">
        <v>46234</v>
      </c>
      <c r="V113" t="inlineStr">
        <is>
          <t xml:space="preserve">Walmart Inc.</t>
        </is>
      </c>
      <c r="W113" t="inlineStr">
        <is>
          <t xml:space="preserve">JPMorgan Chase</t>
        </is>
      </c>
      <c r="X113" s="77" t="inlineStr">
        <is>
          <t xml:space="preserve">PAYROLL-WMT-0731</t>
        </is>
      </c>
      <c r="Y113" t="inlineStr">
        <is>
          <t xml:space="preserve">Kevin Andre Lawson</t>
        </is>
      </c>
      <c r="Z113" t="inlineStr">
        <is>
          <t xml:space="preserve">Bank of America</t>
        </is>
      </c>
      <c r="AA113" s="77" t="inlineStr">
        <is>
          <t xml:space="preserve">4721836590214</t>
        </is>
      </c>
    </row>
    <row r="114">
      <c r="A114" t="inlineStr">
        <is>
          <t xml:space="preserve">Kevin Andre Lawson</t>
        </is>
      </c>
      <c r="B114" s="40">
        <v>4721836590214</v>
      </c>
      <c r="C114" t="inlineStr">
        <is>
          <t xml:space="preserve">P</t>
        </is>
      </c>
      <c r="D114" s="78">
        <f>D113+F114-G114</f>
      </c>
      <c r="E114" s="1">
        <v>46234</v>
      </c>
      <c r="F114" s="82">
        <v>0</v>
      </c>
      <c r="G114" s="82">
        <v>3900.0</v>
      </c>
      <c r="H114" t="inlineStr">
        <is>
          <t xml:space="preserve">Wire</t>
        </is>
      </c>
      <c r="I114" t="inlineStr">
        <is>
          <t xml:space="preserve">D</t>
        </is>
      </c>
      <c r="J114" t="inlineStr">
        <is>
          <t xml:space="preserve">Untagged</t>
        </is>
      </c>
      <c r="K114" t="inlineStr">
        <is>
          <t xml:space="preserve">International wire out - Panama</t>
        </is>
      </c>
      <c r="N114" t="inlineStr">
        <is>
          <t xml:space="preserve">Orlando</t>
        </is>
      </c>
      <c r="O114" t="inlineStr">
        <is>
          <t xml:space="preserve">FL</t>
        </is>
      </c>
      <c r="P114">
        <v>32839</v>
      </c>
      <c r="Q114" t="inlineStr">
        <is>
          <t xml:space="preserve">FL-ORL-03</t>
        </is>
      </c>
      <c r="R114" t="inlineStr">
        <is>
          <t xml:space="preserve">TELLER03</t>
        </is>
      </c>
      <c r="T114" s="81">
        <v>0.65</v>
      </c>
      <c r="U114" s="1">
        <v>46234</v>
      </c>
      <c r="V114" t="inlineStr">
        <is>
          <t xml:space="preserve">Kevin Andre Lawson</t>
        </is>
      </c>
      <c r="W114" t="inlineStr">
        <is>
          <t xml:space="preserve">Bank of America</t>
        </is>
      </c>
      <c r="X114" s="77" t="inlineStr">
        <is>
          <t xml:space="preserve">4721836590214</t>
        </is>
      </c>
      <c r="Y114" t="inlineStr">
        <is>
          <t xml:space="preserve">Istmo Meridian Trading Corp.</t>
        </is>
      </c>
      <c r="Z114" t="inlineStr">
        <is>
          <t xml:space="preserve">Banco Atlantico de Panama, S.A.</t>
        </is>
      </c>
      <c r="AA114" s="77" t="inlineStr">
        <is>
          <t xml:space="preserve">PA-0417-2290-5531</t>
        </is>
      </c>
      <c r="AB114" t="inlineStr">
        <is>
          <t xml:space="preserve">Consulting</t>
        </is>
      </c>
    </row>
    <row r="115">
      <c r="A115" t="inlineStr">
        <is>
          <t xml:space="preserve">Kevin Andre Lawson</t>
        </is>
      </c>
      <c r="B115" s="40">
        <v>4721836590214</v>
      </c>
      <c r="C115" t="inlineStr">
        <is>
          <t xml:space="preserve">P</t>
        </is>
      </c>
      <c r="D115" s="78">
        <f>D114+F115-G115</f>
      </c>
      <c r="E115" s="1">
        <v>46234</v>
      </c>
      <c r="F115" s="82">
        <v>0</v>
      </c>
      <c r="G115" s="82">
        <v>45.0</v>
      </c>
      <c r="H115" t="inlineStr">
        <is>
          <t xml:space="preserve">Fee</t>
        </is>
      </c>
      <c r="I115" t="inlineStr">
        <is>
          <t xml:space="preserve">D</t>
        </is>
      </c>
      <c r="J115" t="inlineStr">
        <is>
          <t xml:space="preserve">Untagged</t>
        </is>
      </c>
      <c r="K115" t="inlineStr">
        <is>
          <t xml:space="preserve">International wire transfer fee</t>
        </is>
      </c>
      <c r="U115" s="1">
        <v>46234</v>
      </c>
      <c r="V115" t="inlineStr">
        <is>
          <t xml:space="preserve">Kevin Andre Lawson</t>
        </is>
      </c>
      <c r="W115" t="inlineStr">
        <is>
          <t xml:space="preserve">Bank of America</t>
        </is>
      </c>
      <c r="X115" s="77" t="inlineStr">
        <is>
          <t xml:space="preserve">4721836590214</t>
        </is>
      </c>
      <c r="Y115" t="inlineStr">
        <is>
          <t xml:space="preserve">Bank of America</t>
        </is>
      </c>
      <c r="AA115" s="77" t="inlineStr">
        <is>
          <t xml:space="preserve">FEE-INTLWIRE</t>
        </is>
      </c>
    </row>
    <row r="116">
      <c r="A116" t="inlineStr">
        <is>
          <t xml:space="preserve">Kevin Andre Lawson</t>
        </is>
      </c>
      <c r="B116" s="40">
        <v>4721836590214</v>
      </c>
      <c r="C116" t="inlineStr">
        <is>
          <t xml:space="preserve">P</t>
        </is>
      </c>
      <c r="D116" s="78">
        <f>D115+F116-G116</f>
      </c>
      <c r="E116" s="1">
        <v>46235</v>
      </c>
      <c r="F116" s="82">
        <v>0</v>
      </c>
      <c r="G116" s="82">
        <v>650.0</v>
      </c>
      <c r="H116" t="inlineStr">
        <is>
          <t xml:space="preserve">ACH</t>
        </is>
      </c>
      <c r="I116" t="inlineStr">
        <is>
          <t xml:space="preserve">D</t>
        </is>
      </c>
      <c r="J116" t="inlineStr">
        <is>
          <t xml:space="preserve">Untagged</t>
        </is>
      </c>
      <c r="K116" t="inlineStr">
        <is>
          <t xml:space="preserve">Monthly rent</t>
        </is>
      </c>
      <c r="N116" t="inlineStr">
        <is>
          <t xml:space="preserve">Orlando</t>
        </is>
      </c>
      <c r="O116" t="inlineStr">
        <is>
          <t xml:space="preserve">FL</t>
        </is>
      </c>
      <c r="P116">
        <v>32839</v>
      </c>
      <c r="U116" s="1">
        <v>46235</v>
      </c>
      <c r="V116" t="inlineStr">
        <is>
          <t xml:space="preserve">Kevin Andre Lawson</t>
        </is>
      </c>
      <c r="W116" t="inlineStr">
        <is>
          <t xml:space="preserve">Bank of America</t>
        </is>
      </c>
      <c r="X116" s="77" t="inlineStr">
        <is>
          <t xml:space="preserve">4721836590214</t>
        </is>
      </c>
      <c r="Y116" t="inlineStr">
        <is>
          <t xml:space="preserve">Palm Haven Apartments</t>
        </is>
      </c>
      <c r="Z116" t="inlineStr">
        <is>
          <t xml:space="preserve">Truist</t>
        </is>
      </c>
      <c r="AA116" s="77" t="inlineStr">
        <is>
          <t xml:space="preserve">RENT-2715-4B</t>
        </is>
      </c>
    </row>
    <row r="117">
      <c r="A117" t="inlineStr">
        <is>
          <t xml:space="preserve">Kevin Andre Lawson</t>
        </is>
      </c>
      <c r="B117" s="40">
        <v>4721836590214</v>
      </c>
      <c r="C117" t="inlineStr">
        <is>
          <t xml:space="preserve">P</t>
        </is>
      </c>
      <c r="D117" s="78">
        <f>D116+F117-G117</f>
      </c>
      <c r="E117" s="1">
        <v>46237</v>
      </c>
      <c r="F117" s="82">
        <v>350.0</v>
      </c>
      <c r="G117" s="82">
        <v>0</v>
      </c>
      <c r="H117" t="inlineStr">
        <is>
          <t xml:space="preserve">P2P</t>
        </is>
      </c>
      <c r="I117" t="inlineStr">
        <is>
          <t xml:space="preserve">C</t>
        </is>
      </c>
      <c r="J117" t="inlineStr">
        <is>
          <t xml:space="preserve">Untagged</t>
        </is>
      </c>
      <c r="K117" t="inlineStr">
        <is>
          <t xml:space="preserve">Zelle received</t>
        </is>
      </c>
      <c r="T117" s="81">
        <v>0.8611111111111112</v>
      </c>
      <c r="U117" s="1">
        <v>46237</v>
      </c>
      <c r="V117" t="inlineStr">
        <is>
          <t xml:space="preserve">Brianna Scott</t>
        </is>
      </c>
      <c r="W117" t="inlineStr">
        <is>
          <t xml:space="preserve">Truist</t>
        </is>
      </c>
      <c r="X117" s="77" t="inlineStr">
        <is>
          <t xml:space="preserve">ZELLE-S-1111</t>
        </is>
      </c>
      <c r="Y117" t="inlineStr">
        <is>
          <t xml:space="preserve">Kevin Andre Lawson</t>
        </is>
      </c>
      <c r="Z117" t="inlineStr">
        <is>
          <t xml:space="preserve">Bank of America</t>
        </is>
      </c>
      <c r="AA117" s="77" t="inlineStr">
        <is>
          <t xml:space="preserve">4721836590214</t>
        </is>
      </c>
      <c r="AB117" t="inlineStr">
        <is>
          <t xml:space="preserve">Thanks</t>
        </is>
      </c>
    </row>
    <row r="118">
      <c r="A118" t="inlineStr">
        <is>
          <t xml:space="preserve">Kevin Andre Lawson</t>
        </is>
      </c>
      <c r="B118" s="40">
        <v>4721836590214</v>
      </c>
      <c r="C118" t="inlineStr">
        <is>
          <t xml:space="preserve">P</t>
        </is>
      </c>
      <c r="D118" s="78">
        <f>D117+F118-G118</f>
      </c>
      <c r="E118" s="1">
        <v>46237</v>
      </c>
      <c r="F118" s="82">
        <v>0</v>
      </c>
      <c r="G118" s="82">
        <v>88.14</v>
      </c>
      <c r="H118" t="inlineStr">
        <is>
          <t xml:space="preserve">Debit Card</t>
        </is>
      </c>
      <c r="I118" t="inlineStr">
        <is>
          <t xml:space="preserve">D</t>
        </is>
      </c>
      <c r="J118" t="inlineStr">
        <is>
          <t xml:space="preserve">Untagged</t>
        </is>
      </c>
      <c r="K118" t="inlineStr">
        <is>
          <t xml:space="preserve">Walmart Supercenter</t>
        </is>
      </c>
      <c r="L118" t="inlineStr">
        <is>
          <t xml:space="preserve">4128 5530 9187 2264</t>
        </is>
      </c>
      <c r="N118" t="inlineStr">
        <is>
          <t xml:space="preserve">Orlando</t>
        </is>
      </c>
      <c r="O118" t="inlineStr">
        <is>
          <t xml:space="preserve">FL</t>
        </is>
      </c>
      <c r="P118">
        <v>32839</v>
      </c>
      <c r="S118" t="inlineStr">
        <is>
          <t xml:space="preserve">POS-ORL-1713</t>
        </is>
      </c>
      <c r="T118" s="81">
        <v>0.8041666666666667</v>
      </c>
      <c r="U118" s="1">
        <v>46238</v>
      </c>
      <c r="V118" t="inlineStr">
        <is>
          <t xml:space="preserve">Kevin Andre Lawson</t>
        </is>
      </c>
      <c r="W118" t="inlineStr">
        <is>
          <t xml:space="preserve">Bank of America</t>
        </is>
      </c>
      <c r="X118" s="77" t="inlineStr">
        <is>
          <t xml:space="preserve">4721836590214</t>
        </is>
      </c>
      <c r="Y118" t="inlineStr">
        <is>
          <t xml:space="preserve">Walmart Supercenter</t>
        </is>
      </c>
    </row>
    <row r="119">
      <c r="A119" t="inlineStr">
        <is>
          <t xml:space="preserve">Kevin Andre Lawson</t>
        </is>
      </c>
      <c r="B119" s="40">
        <v>4721836590214</v>
      </c>
      <c r="C119" t="inlineStr">
        <is>
          <t xml:space="preserve">P</t>
        </is>
      </c>
      <c r="D119" s="78">
        <f>D118+F119-G119</f>
      </c>
      <c r="E119" s="1">
        <v>46238</v>
      </c>
      <c r="F119" s="82">
        <v>500.0</v>
      </c>
      <c r="G119" s="82">
        <v>0</v>
      </c>
      <c r="H119" t="inlineStr">
        <is>
          <t xml:space="preserve">P2P</t>
        </is>
      </c>
      <c r="I119" t="inlineStr">
        <is>
          <t xml:space="preserve">C</t>
        </is>
      </c>
      <c r="J119" t="inlineStr">
        <is>
          <t xml:space="preserve">Untagged</t>
        </is>
      </c>
      <c r="K119" t="inlineStr">
        <is>
          <t xml:space="preserve">Zelle received</t>
        </is>
      </c>
      <c r="T119" s="81">
        <v>0.8090277777777778</v>
      </c>
      <c r="U119" s="1">
        <v>46238</v>
      </c>
      <c r="V119" t="inlineStr">
        <is>
          <t xml:space="preserve">Monique Harris</t>
        </is>
      </c>
      <c r="W119" t="inlineStr">
        <is>
          <t xml:space="preserve">Capital One</t>
        </is>
      </c>
      <c r="X119" s="77" t="inlineStr">
        <is>
          <t xml:space="preserve">ZELLE-S-1105</t>
        </is>
      </c>
      <c r="Y119" t="inlineStr">
        <is>
          <t xml:space="preserve">Kevin Andre Lawson</t>
        </is>
      </c>
      <c r="Z119" t="inlineStr">
        <is>
          <t xml:space="preserve">Bank of America</t>
        </is>
      </c>
      <c r="AA119" s="77" t="inlineStr">
        <is>
          <t xml:space="preserve">4721836590214</t>
        </is>
      </c>
      <c r="AB119" t="inlineStr">
        <is>
          <t xml:space="preserve">Sent</t>
        </is>
      </c>
    </row>
    <row r="120">
      <c r="A120" t="inlineStr">
        <is>
          <t xml:space="preserve">Kevin Andre Lawson</t>
        </is>
      </c>
      <c r="B120" s="40">
        <v>4721836590214</v>
      </c>
      <c r="C120" t="inlineStr">
        <is>
          <t xml:space="preserve">P</t>
        </is>
      </c>
      <c r="D120" s="78">
        <f>D119+F120-G120</f>
      </c>
      <c r="E120" s="1">
        <v>46238</v>
      </c>
      <c r="F120" s="82">
        <v>0</v>
      </c>
      <c r="G120" s="82">
        <v>78.71</v>
      </c>
      <c r="H120" t="inlineStr">
        <is>
          <t xml:space="preserve">Debit Card</t>
        </is>
      </c>
      <c r="I120" t="inlineStr">
        <is>
          <t xml:space="preserve">D</t>
        </is>
      </c>
      <c r="J120" t="inlineStr">
        <is>
          <t xml:space="preserve">Untagged</t>
        </is>
      </c>
      <c r="K120" t="inlineStr">
        <is>
          <t xml:space="preserve">Publix Super Market</t>
        </is>
      </c>
      <c r="L120" t="inlineStr">
        <is>
          <t xml:space="preserve">4128 5530 9187 2264</t>
        </is>
      </c>
      <c r="N120" t="inlineStr">
        <is>
          <t xml:space="preserve">Orlando</t>
        </is>
      </c>
      <c r="O120" t="inlineStr">
        <is>
          <t xml:space="preserve">FL</t>
        </is>
      </c>
      <c r="P120">
        <v>32839</v>
      </c>
      <c r="S120" t="inlineStr">
        <is>
          <t xml:space="preserve">POS-ORL-1289</t>
        </is>
      </c>
      <c r="T120" s="81">
        <v>0.3951388888888889</v>
      </c>
      <c r="U120" s="1">
        <v>46239</v>
      </c>
      <c r="V120" t="inlineStr">
        <is>
          <t xml:space="preserve">Kevin Andre Lawson</t>
        </is>
      </c>
      <c r="W120" t="inlineStr">
        <is>
          <t xml:space="preserve">Bank of America</t>
        </is>
      </c>
      <c r="X120" s="77" t="inlineStr">
        <is>
          <t xml:space="preserve">4721836590214</t>
        </is>
      </c>
      <c r="Y120" t="inlineStr">
        <is>
          <t xml:space="preserve">Publix Super Market</t>
        </is>
      </c>
    </row>
    <row r="121">
      <c r="A121" t="inlineStr">
        <is>
          <t xml:space="preserve">Kevin Andre Lawson</t>
        </is>
      </c>
      <c r="B121" s="40">
        <v>4721836590214</v>
      </c>
      <c r="C121" t="inlineStr">
        <is>
          <t xml:space="preserve">P</t>
        </is>
      </c>
      <c r="D121" s="78">
        <f>D120+F121-G121</f>
      </c>
      <c r="E121" s="1">
        <v>46241</v>
      </c>
      <c r="F121" s="82">
        <v>391.54</v>
      </c>
      <c r="G121" s="82">
        <v>0</v>
      </c>
      <c r="H121" t="inlineStr">
        <is>
          <t xml:space="preserve">ACH</t>
        </is>
      </c>
      <c r="I121" t="inlineStr">
        <is>
          <t xml:space="preserve">C</t>
        </is>
      </c>
      <c r="J121" t="inlineStr">
        <is>
          <t xml:space="preserve">Untagged</t>
        </is>
      </c>
      <c r="K121" t="inlineStr">
        <is>
          <t xml:space="preserve">Payroll deposit</t>
        </is>
      </c>
      <c r="U121" s="1">
        <v>46241</v>
      </c>
      <c r="V121" t="inlineStr">
        <is>
          <t xml:space="preserve">Walmart Inc.</t>
        </is>
      </c>
      <c r="W121" t="inlineStr">
        <is>
          <t xml:space="preserve">JPMorgan Chase</t>
        </is>
      </c>
      <c r="X121" s="77" t="inlineStr">
        <is>
          <t xml:space="preserve">PAYROLL-WMT-0807</t>
        </is>
      </c>
      <c r="Y121" t="inlineStr">
        <is>
          <t xml:space="preserve">Kevin Andre Lawson</t>
        </is>
      </c>
      <c r="Z121" t="inlineStr">
        <is>
          <t xml:space="preserve">Bank of America</t>
        </is>
      </c>
      <c r="AA121" s="77" t="inlineStr">
        <is>
          <t xml:space="preserve">4721836590214</t>
        </is>
      </c>
    </row>
    <row r="122">
      <c r="A122" t="inlineStr">
        <is>
          <t xml:space="preserve">Kevin Andre Lawson</t>
        </is>
      </c>
      <c r="B122" s="40">
        <v>4721836590214</v>
      </c>
      <c r="C122" t="inlineStr">
        <is>
          <t xml:space="preserve">P</t>
        </is>
      </c>
      <c r="D122" s="78">
        <f>D121+F122-G122</f>
      </c>
      <c r="E122" s="1">
        <v>46241</v>
      </c>
      <c r="F122" s="82">
        <v>480.0</v>
      </c>
      <c r="G122" s="82">
        <v>0</v>
      </c>
      <c r="H122" t="inlineStr">
        <is>
          <t xml:space="preserve">P2P</t>
        </is>
      </c>
      <c r="I122" t="inlineStr">
        <is>
          <t xml:space="preserve">C</t>
        </is>
      </c>
      <c r="J122" t="inlineStr">
        <is>
          <t xml:space="preserve">Untagged</t>
        </is>
      </c>
      <c r="K122" t="inlineStr">
        <is>
          <t xml:space="preserve">Zelle received</t>
        </is>
      </c>
      <c r="T122" s="81">
        <v>0.40694444444444444</v>
      </c>
      <c r="U122" s="1">
        <v>46241</v>
      </c>
      <c r="V122" t="inlineStr">
        <is>
          <t xml:space="preserve">Latoya Rivers</t>
        </is>
      </c>
      <c r="W122" t="inlineStr">
        <is>
          <t xml:space="preserve">PNC Bank</t>
        </is>
      </c>
      <c r="X122" s="77" t="inlineStr">
        <is>
          <t xml:space="preserve">ZELLE-S-1125</t>
        </is>
      </c>
      <c r="Y122" t="inlineStr">
        <is>
          <t xml:space="preserve">Kevin Andre Lawson</t>
        </is>
      </c>
      <c r="Z122" t="inlineStr">
        <is>
          <t xml:space="preserve">Bank of America</t>
        </is>
      </c>
      <c r="AA122" s="77" t="inlineStr">
        <is>
          <t xml:space="preserve">4721836590214</t>
        </is>
      </c>
    </row>
    <row r="123">
      <c r="A123" t="inlineStr">
        <is>
          <t xml:space="preserve">Kevin Andre Lawson</t>
        </is>
      </c>
      <c r="B123" s="40">
        <v>4721836590214</v>
      </c>
      <c r="C123" t="inlineStr">
        <is>
          <t xml:space="preserve">P</t>
        </is>
      </c>
      <c r="D123" s="78">
        <f>D122+F123-G123</f>
      </c>
      <c r="E123" s="1">
        <v>46243</v>
      </c>
      <c r="F123" s="82">
        <v>0</v>
      </c>
      <c r="G123" s="82">
        <v>47.38</v>
      </c>
      <c r="H123" t="inlineStr">
        <is>
          <t xml:space="preserve">Debit Card</t>
        </is>
      </c>
      <c r="I123" t="inlineStr">
        <is>
          <t xml:space="preserve">D</t>
        </is>
      </c>
      <c r="J123" t="inlineStr">
        <is>
          <t xml:space="preserve">Untagged</t>
        </is>
      </c>
      <c r="K123" t="inlineStr">
        <is>
          <t xml:space="preserve">Wawa fuel</t>
        </is>
      </c>
      <c r="L123" t="inlineStr">
        <is>
          <t xml:space="preserve">4128 5530 9187 2264</t>
        </is>
      </c>
      <c r="N123" t="inlineStr">
        <is>
          <t xml:space="preserve">Orlando</t>
        </is>
      </c>
      <c r="O123" t="inlineStr">
        <is>
          <t xml:space="preserve">FL</t>
        </is>
      </c>
      <c r="P123">
        <v>32839</v>
      </c>
      <c r="S123" t="inlineStr">
        <is>
          <t xml:space="preserve">POS-ORL-2365</t>
        </is>
      </c>
      <c r="T123" s="81">
        <v>0.4673611111111111</v>
      </c>
      <c r="U123" s="1">
        <v>46244</v>
      </c>
      <c r="V123" t="inlineStr">
        <is>
          <t xml:space="preserve">Kevin Andre Lawson</t>
        </is>
      </c>
      <c r="W123" t="inlineStr">
        <is>
          <t xml:space="preserve">Bank of America</t>
        </is>
      </c>
      <c r="X123" s="77" t="inlineStr">
        <is>
          <t xml:space="preserve">4721836590214</t>
        </is>
      </c>
      <c r="Y123" t="inlineStr">
        <is>
          <t xml:space="preserve">Wawa</t>
        </is>
      </c>
    </row>
    <row r="124">
      <c r="A124" t="inlineStr">
        <is>
          <t xml:space="preserve">Kevin Andre Lawson</t>
        </is>
      </c>
      <c r="B124" s="40">
        <v>4721836590214</v>
      </c>
      <c r="C124" t="inlineStr">
        <is>
          <t xml:space="preserve">P</t>
        </is>
      </c>
      <c r="D124" s="78">
        <f>D123+F124-G124</f>
      </c>
      <c r="E124" s="1">
        <v>46246</v>
      </c>
      <c r="F124" s="82">
        <v>250.0</v>
      </c>
      <c r="G124" s="82">
        <v>0</v>
      </c>
      <c r="H124" t="inlineStr">
        <is>
          <t xml:space="preserve">P2P</t>
        </is>
      </c>
      <c r="I124" t="inlineStr">
        <is>
          <t xml:space="preserve">C</t>
        </is>
      </c>
      <c r="J124" t="inlineStr">
        <is>
          <t xml:space="preserve">Untagged</t>
        </is>
      </c>
      <c r="K124" t="inlineStr">
        <is>
          <t xml:space="preserve">Zelle received</t>
        </is>
      </c>
      <c r="T124" s="81">
        <v>0.33958333333333335</v>
      </c>
      <c r="U124" s="1">
        <v>46246</v>
      </c>
      <c r="V124" t="inlineStr">
        <is>
          <t xml:space="preserve">Victor Morales</t>
        </is>
      </c>
      <c r="W124" t="inlineStr">
        <is>
          <t xml:space="preserve">Wells Fargo</t>
        </is>
      </c>
      <c r="X124" s="77" t="inlineStr">
        <is>
          <t xml:space="preserve">ZELLE-S-1110</t>
        </is>
      </c>
      <c r="Y124" t="inlineStr">
        <is>
          <t xml:space="preserve">Kevin Andre Lawson</t>
        </is>
      </c>
      <c r="Z124" t="inlineStr">
        <is>
          <t xml:space="preserve">Bank of America</t>
        </is>
      </c>
      <c r="AA124" s="77" t="inlineStr">
        <is>
          <t xml:space="preserve">4721836590214</t>
        </is>
      </c>
      <c r="AB124" t="inlineStr">
        <is>
          <t xml:space="preserve">Help</t>
        </is>
      </c>
    </row>
    <row r="125">
      <c r="A125" t="inlineStr">
        <is>
          <t xml:space="preserve">Kevin Andre Lawson</t>
        </is>
      </c>
      <c r="B125" s="40">
        <v>4721836590214</v>
      </c>
      <c r="C125" t="inlineStr">
        <is>
          <t xml:space="preserve">P</t>
        </is>
      </c>
      <c r="D125" s="78">
        <f>D124+F125-G125</f>
      </c>
      <c r="E125" s="1">
        <v>46246</v>
      </c>
      <c r="F125" s="82">
        <v>0</v>
      </c>
      <c r="G125" s="82">
        <v>99.25</v>
      </c>
      <c r="H125" t="inlineStr">
        <is>
          <t xml:space="preserve">ACH</t>
        </is>
      </c>
      <c r="I125" t="inlineStr">
        <is>
          <t xml:space="preserve">D</t>
        </is>
      </c>
      <c r="J125" t="inlineStr">
        <is>
          <t xml:space="preserve">Untagged</t>
        </is>
      </c>
      <c r="K125" t="inlineStr">
        <is>
          <t xml:space="preserve">Electric &amp; water utility</t>
        </is>
      </c>
      <c r="N125" t="inlineStr">
        <is>
          <t xml:space="preserve">Orlando</t>
        </is>
      </c>
      <c r="O125" t="inlineStr">
        <is>
          <t xml:space="preserve">FL</t>
        </is>
      </c>
      <c r="P125">
        <v>32839</v>
      </c>
      <c r="U125" s="1">
        <v>46246</v>
      </c>
      <c r="V125" t="inlineStr">
        <is>
          <t xml:space="preserve">Kevin Andre Lawson</t>
        </is>
      </c>
      <c r="W125" t="inlineStr">
        <is>
          <t xml:space="preserve">Bank of America</t>
        </is>
      </c>
      <c r="X125" s="77" t="inlineStr">
        <is>
          <t xml:space="preserve">4721836590214</t>
        </is>
      </c>
      <c r="Y125" t="inlineStr">
        <is>
          <t xml:space="preserve">Orlando Utilities Commission</t>
        </is>
      </c>
      <c r="Z125" t="inlineStr">
        <is>
          <t xml:space="preserve">Wells Fargo</t>
        </is>
      </c>
      <c r="AA125" s="77" t="inlineStr">
        <is>
          <t xml:space="preserve">UTIL-OUC</t>
        </is>
      </c>
    </row>
    <row r="126">
      <c r="A126" t="inlineStr">
        <is>
          <t xml:space="preserve">Kevin Andre Lawson</t>
        </is>
      </c>
      <c r="B126" s="40">
        <v>4721836590214</v>
      </c>
      <c r="C126" t="inlineStr">
        <is>
          <t xml:space="preserve">P</t>
        </is>
      </c>
      <c r="D126" s="78">
        <f>D125+F126-G126</f>
      </c>
      <c r="E126" s="1">
        <v>46246</v>
      </c>
      <c r="F126" s="82">
        <v>0</v>
      </c>
      <c r="G126" s="82">
        <v>30.02</v>
      </c>
      <c r="H126" t="inlineStr">
        <is>
          <t xml:space="preserve">Debit Card</t>
        </is>
      </c>
      <c r="I126" t="inlineStr">
        <is>
          <t xml:space="preserve">D</t>
        </is>
      </c>
      <c r="J126" t="inlineStr">
        <is>
          <t xml:space="preserve">Untagged</t>
        </is>
      </c>
      <c r="K126" t="inlineStr">
        <is>
          <t xml:space="preserve">Wawa fuel</t>
        </is>
      </c>
      <c r="L126" t="inlineStr">
        <is>
          <t xml:space="preserve">4128 5530 9187 2264</t>
        </is>
      </c>
      <c r="N126" t="inlineStr">
        <is>
          <t xml:space="preserve">Orlando</t>
        </is>
      </c>
      <c r="O126" t="inlineStr">
        <is>
          <t xml:space="preserve">FL</t>
        </is>
      </c>
      <c r="P126">
        <v>32839</v>
      </c>
      <c r="S126" t="inlineStr">
        <is>
          <t xml:space="preserve">POS-ORL-2486</t>
        </is>
      </c>
      <c r="T126" s="81">
        <v>0.5451388888888888</v>
      </c>
      <c r="U126" s="1">
        <v>46247</v>
      </c>
      <c r="V126" t="inlineStr">
        <is>
          <t xml:space="preserve">Kevin Andre Lawson</t>
        </is>
      </c>
      <c r="W126" t="inlineStr">
        <is>
          <t xml:space="preserve">Bank of America</t>
        </is>
      </c>
      <c r="X126" s="77" t="inlineStr">
        <is>
          <t xml:space="preserve">4721836590214</t>
        </is>
      </c>
      <c r="Y126" t="inlineStr">
        <is>
          <t xml:space="preserve">Wawa</t>
        </is>
      </c>
    </row>
    <row r="127">
      <c r="A127" t="inlineStr">
        <is>
          <t xml:space="preserve">Kevin Andre Lawson</t>
        </is>
      </c>
      <c r="B127" s="40">
        <v>4721836590214</v>
      </c>
      <c r="C127" t="inlineStr">
        <is>
          <t xml:space="preserve">P</t>
        </is>
      </c>
      <c r="D127" s="78">
        <f>D126+F127-G127</f>
      </c>
      <c r="E127" s="1">
        <v>46247</v>
      </c>
      <c r="F127" s="82">
        <v>500.0</v>
      </c>
      <c r="G127" s="82">
        <v>0</v>
      </c>
      <c r="H127" t="inlineStr">
        <is>
          <t xml:space="preserve">P2P</t>
        </is>
      </c>
      <c r="I127" t="inlineStr">
        <is>
          <t xml:space="preserve">C</t>
        </is>
      </c>
      <c r="J127" t="inlineStr">
        <is>
          <t xml:space="preserve">Untagged</t>
        </is>
      </c>
      <c r="K127" t="inlineStr">
        <is>
          <t xml:space="preserve">Zelle received</t>
        </is>
      </c>
      <c r="T127" s="81">
        <v>0.75625</v>
      </c>
      <c r="U127" s="1">
        <v>46247</v>
      </c>
      <c r="V127" t="inlineStr">
        <is>
          <t xml:space="preserve">Tiffany Moore</t>
        </is>
      </c>
      <c r="W127" t="inlineStr">
        <is>
          <t xml:space="preserve">Truist</t>
        </is>
      </c>
      <c r="X127" s="77" t="inlineStr">
        <is>
          <t xml:space="preserve">ZELLE-S-1129</t>
        </is>
      </c>
      <c r="Y127" t="inlineStr">
        <is>
          <t xml:space="preserve">Kevin Andre Lawson</t>
        </is>
      </c>
      <c r="Z127" t="inlineStr">
        <is>
          <t xml:space="preserve">Bank of America</t>
        </is>
      </c>
      <c r="AA127" s="77" t="inlineStr">
        <is>
          <t xml:space="preserve">4721836590214</t>
        </is>
      </c>
      <c r="AB127" t="inlineStr">
        <is>
          <t xml:space="preserve">Help</t>
        </is>
      </c>
    </row>
    <row r="128">
      <c r="A128" t="inlineStr">
        <is>
          <t xml:space="preserve">Kevin Andre Lawson</t>
        </is>
      </c>
      <c r="B128" s="40">
        <v>4721836590214</v>
      </c>
      <c r="C128" t="inlineStr">
        <is>
          <t xml:space="preserve">P</t>
        </is>
      </c>
      <c r="D128" s="78">
        <f>D127+F128-G128</f>
      </c>
      <c r="E128" s="1">
        <v>46248</v>
      </c>
      <c r="F128" s="82">
        <v>387.93</v>
      </c>
      <c r="G128" s="82">
        <v>0</v>
      </c>
      <c r="H128" t="inlineStr">
        <is>
          <t xml:space="preserve">ACH</t>
        </is>
      </c>
      <c r="I128" t="inlineStr">
        <is>
          <t xml:space="preserve">C</t>
        </is>
      </c>
      <c r="J128" t="inlineStr">
        <is>
          <t xml:space="preserve">Untagged</t>
        </is>
      </c>
      <c r="K128" t="inlineStr">
        <is>
          <t xml:space="preserve">Payroll deposit</t>
        </is>
      </c>
      <c r="U128" s="1">
        <v>46248</v>
      </c>
      <c r="V128" t="inlineStr">
        <is>
          <t xml:space="preserve">Walmart Inc.</t>
        </is>
      </c>
      <c r="W128" t="inlineStr">
        <is>
          <t xml:space="preserve">JPMorgan Chase</t>
        </is>
      </c>
      <c r="X128" s="77" t="inlineStr">
        <is>
          <t xml:space="preserve">PAYROLL-WMT-0814</t>
        </is>
      </c>
      <c r="Y128" t="inlineStr">
        <is>
          <t xml:space="preserve">Kevin Andre Lawson</t>
        </is>
      </c>
      <c r="Z128" t="inlineStr">
        <is>
          <t xml:space="preserve">Bank of America</t>
        </is>
      </c>
      <c r="AA128" s="77" t="inlineStr">
        <is>
          <t xml:space="preserve">4721836590214</t>
        </is>
      </c>
    </row>
    <row r="129">
      <c r="A129" t="inlineStr">
        <is>
          <t xml:space="preserve">Kevin Andre Lawson</t>
        </is>
      </c>
      <c r="B129" s="40">
        <v>4721836590214</v>
      </c>
      <c r="C129" t="inlineStr">
        <is>
          <t xml:space="preserve">P</t>
        </is>
      </c>
      <c r="D129" s="78">
        <f>D128+F129-G129</f>
      </c>
      <c r="E129" s="1">
        <v>46250</v>
      </c>
      <c r="F129" s="82">
        <v>450.0</v>
      </c>
      <c r="G129" s="82">
        <v>0</v>
      </c>
      <c r="H129" t="inlineStr">
        <is>
          <t xml:space="preserve">P2P</t>
        </is>
      </c>
      <c r="I129" t="inlineStr">
        <is>
          <t xml:space="preserve">C</t>
        </is>
      </c>
      <c r="J129" t="inlineStr">
        <is>
          <t xml:space="preserve">Untagged</t>
        </is>
      </c>
      <c r="K129" t="inlineStr">
        <is>
          <t xml:space="preserve">Zelle received</t>
        </is>
      </c>
      <c r="T129" s="81">
        <v>0.5479166666666667</v>
      </c>
      <c r="U129" s="1">
        <v>46250</v>
      </c>
      <c r="V129" t="inlineStr">
        <is>
          <t xml:space="preserve">Samuel Okafor</t>
        </is>
      </c>
      <c r="W129" t="inlineStr">
        <is>
          <t xml:space="preserve">Bank of America</t>
        </is>
      </c>
      <c r="X129" s="77" t="inlineStr">
        <is>
          <t xml:space="preserve">ZELLE-S-1130</t>
        </is>
      </c>
      <c r="Y129" t="inlineStr">
        <is>
          <t xml:space="preserve">Kevin Andre Lawson</t>
        </is>
      </c>
      <c r="Z129" t="inlineStr">
        <is>
          <t xml:space="preserve">Bank of America</t>
        </is>
      </c>
      <c r="AA129" s="77" t="inlineStr">
        <is>
          <t xml:space="preserve">4721836590214</t>
        </is>
      </c>
    </row>
    <row r="130">
      <c r="A130" t="inlineStr">
        <is>
          <t xml:space="preserve">Kevin Andre Lawson</t>
        </is>
      </c>
      <c r="B130" s="40">
        <v>4721836590214</v>
      </c>
      <c r="C130" t="inlineStr">
        <is>
          <t xml:space="preserve">P</t>
        </is>
      </c>
      <c r="D130" s="78">
        <f>D129+F130-G130</f>
      </c>
      <c r="E130" s="1">
        <v>46252</v>
      </c>
      <c r="F130" s="82">
        <v>0</v>
      </c>
      <c r="G130" s="82">
        <v>55.0</v>
      </c>
      <c r="H130" t="inlineStr">
        <is>
          <t xml:space="preserve">ACH</t>
        </is>
      </c>
      <c r="I130" t="inlineStr">
        <is>
          <t xml:space="preserve">D</t>
        </is>
      </c>
      <c r="J130" t="inlineStr">
        <is>
          <t xml:space="preserve">Untagged</t>
        </is>
      </c>
      <c r="K130" t="inlineStr">
        <is>
          <t xml:space="preserve">Mobile phone bill</t>
        </is>
      </c>
      <c r="N130" t="inlineStr">
        <is>
          <t xml:space="preserve">Orlando</t>
        </is>
      </c>
      <c r="O130" t="inlineStr">
        <is>
          <t xml:space="preserve">FL</t>
        </is>
      </c>
      <c r="P130">
        <v>32839</v>
      </c>
      <c r="U130" s="1">
        <v>46252</v>
      </c>
      <c r="V130" t="inlineStr">
        <is>
          <t xml:space="preserve">Kevin Andre Lawson</t>
        </is>
      </c>
      <c r="W130" t="inlineStr">
        <is>
          <t xml:space="preserve">Bank of America</t>
        </is>
      </c>
      <c r="X130" s="77" t="inlineStr">
        <is>
          <t xml:space="preserve">4721836590214</t>
        </is>
      </c>
      <c r="Y130" t="inlineStr">
        <is>
          <t xml:space="preserve">T-Mobile</t>
        </is>
      </c>
      <c r="Z130" t="inlineStr">
        <is>
          <t xml:space="preserve">Citibank</t>
        </is>
      </c>
      <c r="AA130" s="77" t="inlineStr">
        <is>
          <t xml:space="preserve">UTIL-TMO</t>
        </is>
      </c>
    </row>
    <row r="131">
      <c r="A131" t="inlineStr">
        <is>
          <t xml:space="preserve">Kevin Andre Lawson</t>
        </is>
      </c>
      <c r="B131" s="40">
        <v>4721836590214</v>
      </c>
      <c r="C131" t="inlineStr">
        <is>
          <t xml:space="preserve">P</t>
        </is>
      </c>
      <c r="D131" s="78">
        <f>D130+F131-G131</f>
      </c>
      <c r="E131" s="1">
        <v>46253</v>
      </c>
      <c r="F131" s="82">
        <v>0</v>
      </c>
      <c r="G131" s="82">
        <v>39.05</v>
      </c>
      <c r="H131" t="inlineStr">
        <is>
          <t xml:space="preserve">Debit Card</t>
        </is>
      </c>
      <c r="I131" t="inlineStr">
        <is>
          <t xml:space="preserve">D</t>
        </is>
      </c>
      <c r="J131" t="inlineStr">
        <is>
          <t xml:space="preserve">Untagged</t>
        </is>
      </c>
      <c r="K131" t="inlineStr">
        <is>
          <t xml:space="preserve">RaceTrac fuel</t>
        </is>
      </c>
      <c r="L131" t="inlineStr">
        <is>
          <t xml:space="preserve">4128 5530 9187 2264</t>
        </is>
      </c>
      <c r="N131" t="inlineStr">
        <is>
          <t xml:space="preserve">Orlando</t>
        </is>
      </c>
      <c r="O131" t="inlineStr">
        <is>
          <t xml:space="preserve">FL</t>
        </is>
      </c>
      <c r="P131">
        <v>32839</v>
      </c>
      <c r="S131" t="inlineStr">
        <is>
          <t xml:space="preserve">POS-ORL-2516</t>
        </is>
      </c>
      <c r="T131" s="81">
        <v>0.4270833333333333</v>
      </c>
      <c r="U131" s="1">
        <v>46254</v>
      </c>
      <c r="V131" t="inlineStr">
        <is>
          <t xml:space="preserve">Kevin Andre Lawson</t>
        </is>
      </c>
      <c r="W131" t="inlineStr">
        <is>
          <t xml:space="preserve">Bank of America</t>
        </is>
      </c>
      <c r="X131" s="77" t="inlineStr">
        <is>
          <t xml:space="preserve">4721836590214</t>
        </is>
      </c>
      <c r="Y131" t="inlineStr">
        <is>
          <t xml:space="preserve">RaceTrac</t>
        </is>
      </c>
    </row>
    <row r="132">
      <c r="A132" t="inlineStr">
        <is>
          <t xml:space="preserve">Kevin Andre Lawson</t>
        </is>
      </c>
      <c r="B132" s="40">
        <v>4721836590214</v>
      </c>
      <c r="C132" t="inlineStr">
        <is>
          <t xml:space="preserve">P</t>
        </is>
      </c>
      <c r="D132" s="78">
        <f>D131+F132-G132</f>
      </c>
      <c r="E132" s="1">
        <v>46255</v>
      </c>
      <c r="F132" s="82">
        <v>399.53</v>
      </c>
      <c r="G132" s="82">
        <v>0</v>
      </c>
      <c r="H132" t="inlineStr">
        <is>
          <t xml:space="preserve">ACH</t>
        </is>
      </c>
      <c r="I132" t="inlineStr">
        <is>
          <t xml:space="preserve">C</t>
        </is>
      </c>
      <c r="J132" t="inlineStr">
        <is>
          <t xml:space="preserve">Untagged</t>
        </is>
      </c>
      <c r="K132" t="inlineStr">
        <is>
          <t xml:space="preserve">Payroll deposit</t>
        </is>
      </c>
      <c r="U132" s="1">
        <v>46255</v>
      </c>
      <c r="V132" t="inlineStr">
        <is>
          <t xml:space="preserve">Walmart Inc.</t>
        </is>
      </c>
      <c r="W132" t="inlineStr">
        <is>
          <t xml:space="preserve">JPMorgan Chase</t>
        </is>
      </c>
      <c r="X132" s="77" t="inlineStr">
        <is>
          <t xml:space="preserve">PAYROLL-WMT-0821</t>
        </is>
      </c>
      <c r="Y132" t="inlineStr">
        <is>
          <t xml:space="preserve">Kevin Andre Lawson</t>
        </is>
      </c>
      <c r="Z132" t="inlineStr">
        <is>
          <t xml:space="preserve">Bank of America</t>
        </is>
      </c>
      <c r="AA132" s="77" t="inlineStr">
        <is>
          <t xml:space="preserve">4721836590214</t>
        </is>
      </c>
    </row>
    <row r="133">
      <c r="A133" t="inlineStr">
        <is>
          <t xml:space="preserve">Kevin Andre Lawson</t>
        </is>
      </c>
      <c r="B133" s="40">
        <v>4721836590214</v>
      </c>
      <c r="C133" t="inlineStr">
        <is>
          <t xml:space="preserve">P</t>
        </is>
      </c>
      <c r="D133" s="78">
        <f>D132+F133-G133</f>
      </c>
      <c r="E133" s="1">
        <v>46255</v>
      </c>
      <c r="F133" s="82">
        <v>250.0</v>
      </c>
      <c r="G133" s="82">
        <v>0</v>
      </c>
      <c r="H133" t="inlineStr">
        <is>
          <t xml:space="preserve">P2P</t>
        </is>
      </c>
      <c r="I133" t="inlineStr">
        <is>
          <t xml:space="preserve">C</t>
        </is>
      </c>
      <c r="J133" t="inlineStr">
        <is>
          <t xml:space="preserve">Untagged</t>
        </is>
      </c>
      <c r="K133" t="inlineStr">
        <is>
          <t xml:space="preserve">Zelle received</t>
        </is>
      </c>
      <c r="T133" s="81">
        <v>0.3333333333333333</v>
      </c>
      <c r="U133" s="1">
        <v>46255</v>
      </c>
      <c r="V133" t="inlineStr">
        <is>
          <t xml:space="preserve">Alyssa Grant</t>
        </is>
      </c>
      <c r="W133" t="inlineStr">
        <is>
          <t xml:space="preserve">Citibank</t>
        </is>
      </c>
      <c r="X133" s="77" t="inlineStr">
        <is>
          <t xml:space="preserve">ZELLE-S-1135</t>
        </is>
      </c>
      <c r="Y133" t="inlineStr">
        <is>
          <t xml:space="preserve">Kevin Andre Lawson</t>
        </is>
      </c>
      <c r="Z133" t="inlineStr">
        <is>
          <t xml:space="preserve">Bank of America</t>
        </is>
      </c>
      <c r="AA133" s="77" t="inlineStr">
        <is>
          <t xml:space="preserve">4721836590214</t>
        </is>
      </c>
    </row>
    <row r="134">
      <c r="A134" t="inlineStr">
        <is>
          <t xml:space="preserve">Kevin Andre Lawson</t>
        </is>
      </c>
      <c r="B134" s="40">
        <v>4721836590214</v>
      </c>
      <c r="C134" t="inlineStr">
        <is>
          <t xml:space="preserve">P</t>
        </is>
      </c>
      <c r="D134" s="78">
        <f>D133+F134-G134</f>
      </c>
      <c r="E134" s="1">
        <v>46256</v>
      </c>
      <c r="F134" s="82">
        <v>480.0</v>
      </c>
      <c r="G134" s="82">
        <v>0</v>
      </c>
      <c r="H134" t="inlineStr">
        <is>
          <t xml:space="preserve">P2P</t>
        </is>
      </c>
      <c r="I134" t="inlineStr">
        <is>
          <t xml:space="preserve">C</t>
        </is>
      </c>
      <c r="J134" t="inlineStr">
        <is>
          <t xml:space="preserve">Untagged</t>
        </is>
      </c>
      <c r="K134" t="inlineStr">
        <is>
          <t xml:space="preserve">Zelle received</t>
        </is>
      </c>
      <c r="T134" s="81">
        <v>0.4354166666666667</v>
      </c>
      <c r="U134" s="1">
        <v>46256</v>
      </c>
      <c r="V134" t="inlineStr">
        <is>
          <t xml:space="preserve">Keisha Lawrence</t>
        </is>
      </c>
      <c r="W134" t="inlineStr">
        <is>
          <t xml:space="preserve">TD Bank</t>
        </is>
      </c>
      <c r="X134" s="77" t="inlineStr">
        <is>
          <t xml:space="preserve">ZELLE-S-1133</t>
        </is>
      </c>
      <c r="Y134" t="inlineStr">
        <is>
          <t xml:space="preserve">Kevin Andre Lawson</t>
        </is>
      </c>
      <c r="Z134" t="inlineStr">
        <is>
          <t xml:space="preserve">Bank of America</t>
        </is>
      </c>
      <c r="AA134" s="77" t="inlineStr">
        <is>
          <t xml:space="preserve">4721836590214</t>
        </is>
      </c>
      <c r="AB134" t="inlineStr">
        <is>
          <t xml:space="preserve">Payment</t>
        </is>
      </c>
    </row>
    <row r="135">
      <c r="A135" t="inlineStr">
        <is>
          <t xml:space="preserve">Kevin Andre Lawson</t>
        </is>
      </c>
      <c r="B135" s="40">
        <v>4721836590214</v>
      </c>
      <c r="C135" t="inlineStr">
        <is>
          <t xml:space="preserve">P</t>
        </is>
      </c>
      <c r="D135" s="78">
        <f>D134+F135-G135</f>
      </c>
      <c r="E135" s="1">
        <v>46256</v>
      </c>
      <c r="F135" s="82">
        <v>0</v>
      </c>
      <c r="G135" s="82">
        <v>112.4</v>
      </c>
      <c r="H135" t="inlineStr">
        <is>
          <t xml:space="preserve">ACH</t>
        </is>
      </c>
      <c r="I135" t="inlineStr">
        <is>
          <t xml:space="preserve">D</t>
        </is>
      </c>
      <c r="J135" t="inlineStr">
        <is>
          <t xml:space="preserve">Untagged</t>
        </is>
      </c>
      <c r="K135" t="inlineStr">
        <is>
          <t xml:space="preserve">Auto insurance premium</t>
        </is>
      </c>
      <c r="N135" t="inlineStr">
        <is>
          <t xml:space="preserve">Orlando</t>
        </is>
      </c>
      <c r="O135" t="inlineStr">
        <is>
          <t xml:space="preserve">FL</t>
        </is>
      </c>
      <c r="P135">
        <v>32839</v>
      </c>
      <c r="U135" s="1">
        <v>46256</v>
      </c>
      <c r="V135" t="inlineStr">
        <is>
          <t xml:space="preserve">Kevin Andre Lawson</t>
        </is>
      </c>
      <c r="W135" t="inlineStr">
        <is>
          <t xml:space="preserve">Bank of America</t>
        </is>
      </c>
      <c r="X135" s="77" t="inlineStr">
        <is>
          <t xml:space="preserve">4721836590214</t>
        </is>
      </c>
      <c r="Y135" t="inlineStr">
        <is>
          <t xml:space="preserve">GEICO</t>
        </is>
      </c>
      <c r="Z135" t="inlineStr">
        <is>
          <t xml:space="preserve">Bank of America</t>
        </is>
      </c>
      <c r="AA135" s="77" t="inlineStr">
        <is>
          <t xml:space="preserve">INS-GEICO</t>
        </is>
      </c>
    </row>
    <row r="136">
      <c r="A136" t="inlineStr">
        <is>
          <t xml:space="preserve">Kevin Andre Lawson</t>
        </is>
      </c>
      <c r="B136" s="40">
        <v>4721836590214</v>
      </c>
      <c r="C136" t="inlineStr">
        <is>
          <t xml:space="preserve">P</t>
        </is>
      </c>
      <c r="D136" s="78">
        <f>D135+F136-G136</f>
      </c>
      <c r="E136" s="1">
        <v>46257</v>
      </c>
      <c r="F136" s="82">
        <v>0</v>
      </c>
      <c r="G136" s="82">
        <v>56.26</v>
      </c>
      <c r="H136" t="inlineStr">
        <is>
          <t xml:space="preserve">Debit Card</t>
        </is>
      </c>
      <c r="I136" t="inlineStr">
        <is>
          <t xml:space="preserve">D</t>
        </is>
      </c>
      <c r="J136" t="inlineStr">
        <is>
          <t xml:space="preserve">Untagged</t>
        </is>
      </c>
      <c r="K136" t="inlineStr">
        <is>
          <t xml:space="preserve">Publix Super Market</t>
        </is>
      </c>
      <c r="L136" t="inlineStr">
        <is>
          <t xml:space="preserve">4128 5530 9187 2264</t>
        </is>
      </c>
      <c r="N136" t="inlineStr">
        <is>
          <t xml:space="preserve">Orlando</t>
        </is>
      </c>
      <c r="O136" t="inlineStr">
        <is>
          <t xml:space="preserve">FL</t>
        </is>
      </c>
      <c r="P136">
        <v>32839</v>
      </c>
      <c r="S136" t="inlineStr">
        <is>
          <t xml:space="preserve">POS-ORL-1472</t>
        </is>
      </c>
      <c r="T136" s="81">
        <v>0.3861111111111111</v>
      </c>
      <c r="U136" s="1">
        <v>46258</v>
      </c>
      <c r="V136" t="inlineStr">
        <is>
          <t xml:space="preserve">Kevin Andre Lawson</t>
        </is>
      </c>
      <c r="W136" t="inlineStr">
        <is>
          <t xml:space="preserve">Bank of America</t>
        </is>
      </c>
      <c r="X136" s="77" t="inlineStr">
        <is>
          <t xml:space="preserve">4721836590214</t>
        </is>
      </c>
      <c r="Y136" t="inlineStr">
        <is>
          <t xml:space="preserve">Publix Super Market</t>
        </is>
      </c>
    </row>
    <row r="137">
      <c r="A137" t="inlineStr">
        <is>
          <t xml:space="preserve">Kevin Andre Lawson</t>
        </is>
      </c>
      <c r="B137" s="40">
        <v>4721836590214</v>
      </c>
      <c r="C137" t="inlineStr">
        <is>
          <t xml:space="preserve">P</t>
        </is>
      </c>
      <c r="D137" s="78">
        <f>D136+F137-G137</f>
      </c>
      <c r="E137" s="1">
        <v>46260</v>
      </c>
      <c r="F137" s="82">
        <v>200.0</v>
      </c>
      <c r="G137" s="82">
        <v>0</v>
      </c>
      <c r="H137" t="inlineStr">
        <is>
          <t xml:space="preserve">P2P</t>
        </is>
      </c>
      <c r="I137" t="inlineStr">
        <is>
          <t xml:space="preserve">C</t>
        </is>
      </c>
      <c r="J137" t="inlineStr">
        <is>
          <t xml:space="preserve">Untagged</t>
        </is>
      </c>
      <c r="K137" t="inlineStr">
        <is>
          <t xml:space="preserve">Zelle received</t>
        </is>
      </c>
      <c r="T137" s="81">
        <v>0.5090277777777777</v>
      </c>
      <c r="U137" s="1">
        <v>46260</v>
      </c>
      <c r="V137" t="inlineStr">
        <is>
          <t xml:space="preserve">Nicole Ferguson</t>
        </is>
      </c>
      <c r="W137" t="inlineStr">
        <is>
          <t xml:space="preserve">Regions Bank</t>
        </is>
      </c>
      <c r="X137" s="77" t="inlineStr">
        <is>
          <t xml:space="preserve">ZELLE-S-1113</t>
        </is>
      </c>
      <c r="Y137" t="inlineStr">
        <is>
          <t xml:space="preserve">Kevin Andre Lawson</t>
        </is>
      </c>
      <c r="Z137" t="inlineStr">
        <is>
          <t xml:space="preserve">Bank of America</t>
        </is>
      </c>
      <c r="AA137" s="77" t="inlineStr">
        <is>
          <t xml:space="preserve">4721836590214</t>
        </is>
      </c>
      <c r="AB137" t="inlineStr">
        <is>
          <t xml:space="preserve">For you</t>
        </is>
      </c>
    </row>
    <row r="138">
      <c r="A138" t="inlineStr">
        <is>
          <t xml:space="preserve">Kevin Andre Lawson</t>
        </is>
      </c>
      <c r="B138" s="40">
        <v>4721836590214</v>
      </c>
      <c r="C138" t="inlineStr">
        <is>
          <t xml:space="preserve">P</t>
        </is>
      </c>
      <c r="D138" s="78">
        <f>D137+F138-G138</f>
      </c>
      <c r="E138" s="1">
        <v>46262</v>
      </c>
      <c r="F138" s="82">
        <v>380.93</v>
      </c>
      <c r="G138" s="82">
        <v>0</v>
      </c>
      <c r="H138" t="inlineStr">
        <is>
          <t xml:space="preserve">ACH</t>
        </is>
      </c>
      <c r="I138" t="inlineStr">
        <is>
          <t xml:space="preserve">C</t>
        </is>
      </c>
      <c r="J138" t="inlineStr">
        <is>
          <t xml:space="preserve">Untagged</t>
        </is>
      </c>
      <c r="K138" t="inlineStr">
        <is>
          <t xml:space="preserve">Payroll deposit</t>
        </is>
      </c>
      <c r="U138" s="1">
        <v>46262</v>
      </c>
      <c r="V138" t="inlineStr">
        <is>
          <t xml:space="preserve">Walmart Inc.</t>
        </is>
      </c>
      <c r="W138" t="inlineStr">
        <is>
          <t xml:space="preserve">JPMorgan Chase</t>
        </is>
      </c>
      <c r="X138" s="77" t="inlineStr">
        <is>
          <t xml:space="preserve">PAYROLL-WMT-0828</t>
        </is>
      </c>
      <c r="Y138" t="inlineStr">
        <is>
          <t xml:space="preserve">Kevin Andre Lawson</t>
        </is>
      </c>
      <c r="Z138" t="inlineStr">
        <is>
          <t xml:space="preserve">Bank of America</t>
        </is>
      </c>
      <c r="AA138" s="77" t="inlineStr">
        <is>
          <t xml:space="preserve">4721836590214</t>
        </is>
      </c>
    </row>
    <row r="139">
      <c r="A139" t="inlineStr">
        <is>
          <t xml:space="preserve">Kevin Andre Lawson</t>
        </is>
      </c>
      <c r="B139" s="40">
        <v>4721836590214</v>
      </c>
      <c r="C139" t="inlineStr">
        <is>
          <t xml:space="preserve">P</t>
        </is>
      </c>
      <c r="D139" s="78">
        <f>D138+F139-G139</f>
      </c>
      <c r="E139" s="1">
        <v>46263</v>
      </c>
      <c r="F139" s="82">
        <v>275.0</v>
      </c>
      <c r="G139" s="82">
        <v>0</v>
      </c>
      <c r="H139" t="inlineStr">
        <is>
          <t xml:space="preserve">P2P</t>
        </is>
      </c>
      <c r="I139" t="inlineStr">
        <is>
          <t xml:space="preserve">C</t>
        </is>
      </c>
      <c r="J139" t="inlineStr">
        <is>
          <t xml:space="preserve">Untagged</t>
        </is>
      </c>
      <c r="K139" t="inlineStr">
        <is>
          <t xml:space="preserve">Zelle received</t>
        </is>
      </c>
      <c r="T139" s="81">
        <v>0.8590277777777777</v>
      </c>
      <c r="U139" s="1">
        <v>46263</v>
      </c>
      <c r="V139" t="inlineStr">
        <is>
          <t xml:space="preserve">Dominic Russo</t>
        </is>
      </c>
      <c r="W139" t="inlineStr">
        <is>
          <t xml:space="preserve">Capital One</t>
        </is>
      </c>
      <c r="X139" s="77" t="inlineStr">
        <is>
          <t xml:space="preserve">ZELLE-S-1132</t>
        </is>
      </c>
      <c r="Y139" t="inlineStr">
        <is>
          <t xml:space="preserve">Kevin Andre Lawson</t>
        </is>
      </c>
      <c r="Z139" t="inlineStr">
        <is>
          <t xml:space="preserve">Bank of America</t>
        </is>
      </c>
      <c r="AA139" s="77" t="inlineStr">
        <is>
          <t xml:space="preserve">4721836590214</t>
        </is>
      </c>
      <c r="AB139" t="inlineStr">
        <is>
          <t xml:space="preserve">Thanks</t>
        </is>
      </c>
    </row>
    <row r="140">
      <c r="A140" t="inlineStr">
        <is>
          <t xml:space="preserve">Kevin Andre Lawson</t>
        </is>
      </c>
      <c r="B140" s="40">
        <v>4721836590214</v>
      </c>
      <c r="C140" t="inlineStr">
        <is>
          <t xml:space="preserve">P</t>
        </is>
      </c>
      <c r="D140" s="78">
        <f>D139+F140-G140</f>
      </c>
      <c r="E140" s="1">
        <v>46264</v>
      </c>
      <c r="F140" s="82">
        <v>400.0</v>
      </c>
      <c r="G140" s="82">
        <v>0</v>
      </c>
      <c r="H140" t="inlineStr">
        <is>
          <t xml:space="preserve">P2P</t>
        </is>
      </c>
      <c r="I140" t="inlineStr">
        <is>
          <t xml:space="preserve">C</t>
        </is>
      </c>
      <c r="J140" t="inlineStr">
        <is>
          <t xml:space="preserve">Untagged</t>
        </is>
      </c>
      <c r="K140" t="inlineStr">
        <is>
          <t xml:space="preserve">Zelle received</t>
        </is>
      </c>
      <c r="T140" s="81">
        <v>0.6201388888888889</v>
      </c>
      <c r="U140" s="1">
        <v>46264</v>
      </c>
      <c r="V140" t="inlineStr">
        <is>
          <t xml:space="preserve">Chris Patterson</t>
        </is>
      </c>
      <c r="W140" t="inlineStr">
        <is>
          <t xml:space="preserve">PNC Bank</t>
        </is>
      </c>
      <c r="X140" s="77" t="inlineStr">
        <is>
          <t xml:space="preserve">ZELLE-S-1116</t>
        </is>
      </c>
      <c r="Y140" t="inlineStr">
        <is>
          <t xml:space="preserve">Kevin Andre Lawson</t>
        </is>
      </c>
      <c r="Z140" t="inlineStr">
        <is>
          <t xml:space="preserve">Bank of America</t>
        </is>
      </c>
      <c r="AA140" s="77" t="inlineStr">
        <is>
          <t xml:space="preserve">4721836590214</t>
        </is>
      </c>
    </row>
    <row r="141">
      <c r="A141" t="inlineStr">
        <is>
          <t xml:space="preserve">Kevin Andre Lawson</t>
        </is>
      </c>
      <c r="B141" s="40">
        <v>4721836590214</v>
      </c>
      <c r="C141" t="inlineStr">
        <is>
          <t xml:space="preserve">P</t>
        </is>
      </c>
      <c r="D141" s="78">
        <f>D140+F141-G141</f>
      </c>
      <c r="E141" s="1">
        <v>46265</v>
      </c>
      <c r="F141" s="82">
        <v>0</v>
      </c>
      <c r="G141" s="82">
        <v>4100.0</v>
      </c>
      <c r="H141" t="inlineStr">
        <is>
          <t xml:space="preserve">Wire</t>
        </is>
      </c>
      <c r="I141" t="inlineStr">
        <is>
          <t xml:space="preserve">D</t>
        </is>
      </c>
      <c r="J141" t="inlineStr">
        <is>
          <t xml:space="preserve">Untagged</t>
        </is>
      </c>
      <c r="K141" t="inlineStr">
        <is>
          <t xml:space="preserve">International wire out - Panama</t>
        </is>
      </c>
      <c r="N141" t="inlineStr">
        <is>
          <t xml:space="preserve">Orlando</t>
        </is>
      </c>
      <c r="O141" t="inlineStr">
        <is>
          <t xml:space="preserve">FL</t>
        </is>
      </c>
      <c r="P141">
        <v>32839</v>
      </c>
      <c r="Q141" t="inlineStr">
        <is>
          <t xml:space="preserve">FL-ORL-03</t>
        </is>
      </c>
      <c r="R141" t="inlineStr">
        <is>
          <t xml:space="preserve">TELLER03</t>
        </is>
      </c>
      <c r="T141" s="81">
        <v>0.5777777777777777</v>
      </c>
      <c r="U141" s="1">
        <v>46265</v>
      </c>
      <c r="V141" t="inlineStr">
        <is>
          <t xml:space="preserve">Kevin Andre Lawson</t>
        </is>
      </c>
      <c r="W141" t="inlineStr">
        <is>
          <t xml:space="preserve">Bank of America</t>
        </is>
      </c>
      <c r="X141" s="77" t="inlineStr">
        <is>
          <t xml:space="preserve">4721836590214</t>
        </is>
      </c>
      <c r="Y141" t="inlineStr">
        <is>
          <t xml:space="preserve">Istmo Meridian Trading Corp.</t>
        </is>
      </c>
      <c r="Z141" t="inlineStr">
        <is>
          <t xml:space="preserve">Banco Atlantico de Panama, S.A.</t>
        </is>
      </c>
      <c r="AA141" s="77" t="inlineStr">
        <is>
          <t xml:space="preserve">PA-0417-2290-5531</t>
        </is>
      </c>
      <c r="AB141" t="inlineStr">
        <is>
          <t xml:space="preserve">Services rendered</t>
        </is>
      </c>
    </row>
    <row r="142">
      <c r="A142" t="inlineStr">
        <is>
          <t xml:space="preserve">Kevin Andre Lawson</t>
        </is>
      </c>
      <c r="B142" s="40">
        <v>4721836590214</v>
      </c>
      <c r="C142" t="inlineStr">
        <is>
          <t xml:space="preserve">P</t>
        </is>
      </c>
      <c r="D142" s="78">
        <f>D141+F142-G142</f>
      </c>
      <c r="E142" s="1">
        <v>46265</v>
      </c>
      <c r="F142" s="82">
        <v>0</v>
      </c>
      <c r="G142" s="82">
        <v>45.0</v>
      </c>
      <c r="H142" t="inlineStr">
        <is>
          <t xml:space="preserve">Fee</t>
        </is>
      </c>
      <c r="I142" t="inlineStr">
        <is>
          <t xml:space="preserve">D</t>
        </is>
      </c>
      <c r="J142" t="inlineStr">
        <is>
          <t xml:space="preserve">Untagged</t>
        </is>
      </c>
      <c r="K142" t="inlineStr">
        <is>
          <t xml:space="preserve">International wire transfer fee</t>
        </is>
      </c>
      <c r="U142" s="1">
        <v>46265</v>
      </c>
      <c r="V142" t="inlineStr">
        <is>
          <t xml:space="preserve">Kevin Andre Lawson</t>
        </is>
      </c>
      <c r="W142" t="inlineStr">
        <is>
          <t xml:space="preserve">Bank of America</t>
        </is>
      </c>
      <c r="X142" s="77" t="inlineStr">
        <is>
          <t xml:space="preserve">4721836590214</t>
        </is>
      </c>
      <c r="Y142" t="inlineStr">
        <is>
          <t xml:space="preserve">Bank of America</t>
        </is>
      </c>
      <c r="AA142" s="77" t="inlineStr">
        <is>
          <t xml:space="preserve">FEE-INTLWIRE</t>
        </is>
      </c>
    </row>
    <row r="143">
      <c r="A143" t="inlineStr">
        <is>
          <t xml:space="preserve">Kevin Andre Lawson</t>
        </is>
      </c>
      <c r="B143" s="40">
        <v>4721836590214</v>
      </c>
      <c r="C143" t="inlineStr">
        <is>
          <t xml:space="preserve">P</t>
        </is>
      </c>
      <c r="D143" s="78">
        <f>D142+F143-G143</f>
      </c>
      <c r="E143" s="1">
        <v>46266</v>
      </c>
      <c r="F143" s="82">
        <v>0</v>
      </c>
      <c r="G143" s="82">
        <v>650.0</v>
      </c>
      <c r="H143" t="inlineStr">
        <is>
          <t xml:space="preserve">ACH</t>
        </is>
      </c>
      <c r="I143" t="inlineStr">
        <is>
          <t xml:space="preserve">D</t>
        </is>
      </c>
      <c r="J143" t="inlineStr">
        <is>
          <t xml:space="preserve">Untagged</t>
        </is>
      </c>
      <c r="K143" t="inlineStr">
        <is>
          <t xml:space="preserve">Monthly rent</t>
        </is>
      </c>
      <c r="N143" t="inlineStr">
        <is>
          <t xml:space="preserve">Orlando</t>
        </is>
      </c>
      <c r="O143" t="inlineStr">
        <is>
          <t xml:space="preserve">FL</t>
        </is>
      </c>
      <c r="P143">
        <v>32839</v>
      </c>
      <c r="U143" s="1">
        <v>46266</v>
      </c>
      <c r="V143" t="inlineStr">
        <is>
          <t xml:space="preserve">Kevin Andre Lawson</t>
        </is>
      </c>
      <c r="W143" t="inlineStr">
        <is>
          <t xml:space="preserve">Bank of America</t>
        </is>
      </c>
      <c r="X143" s="77" t="inlineStr">
        <is>
          <t xml:space="preserve">4721836590214</t>
        </is>
      </c>
      <c r="Y143" t="inlineStr">
        <is>
          <t xml:space="preserve">Palm Haven Apartments</t>
        </is>
      </c>
      <c r="Z143" t="inlineStr">
        <is>
          <t xml:space="preserve">Truist</t>
        </is>
      </c>
      <c r="AA143" s="77" t="inlineStr">
        <is>
          <t xml:space="preserve">RENT-2715-4B</t>
        </is>
      </c>
    </row>
    <row r="144">
      <c r="A144" t="inlineStr">
        <is>
          <t xml:space="preserve">Kevin Andre Lawson</t>
        </is>
      </c>
      <c r="B144" s="40">
        <v>4721836590214</v>
      </c>
      <c r="C144" t="inlineStr">
        <is>
          <t xml:space="preserve">P</t>
        </is>
      </c>
      <c r="D144" s="78">
        <f>D143+F144-G144</f>
      </c>
      <c r="E144" s="1">
        <v>46269</v>
      </c>
      <c r="F144" s="82">
        <v>397.17</v>
      </c>
      <c r="G144" s="82">
        <v>0</v>
      </c>
      <c r="H144" t="inlineStr">
        <is>
          <t xml:space="preserve">ACH</t>
        </is>
      </c>
      <c r="I144" t="inlineStr">
        <is>
          <t xml:space="preserve">C</t>
        </is>
      </c>
      <c r="J144" t="inlineStr">
        <is>
          <t xml:space="preserve">Untagged</t>
        </is>
      </c>
      <c r="K144" t="inlineStr">
        <is>
          <t xml:space="preserve">Payroll deposit</t>
        </is>
      </c>
      <c r="U144" s="1">
        <v>46269</v>
      </c>
      <c r="V144" t="inlineStr">
        <is>
          <t xml:space="preserve">Walmart Inc.</t>
        </is>
      </c>
      <c r="W144" t="inlineStr">
        <is>
          <t xml:space="preserve">JPMorgan Chase</t>
        </is>
      </c>
      <c r="X144" s="77" t="inlineStr">
        <is>
          <t xml:space="preserve">PAYROLL-WMT-0904</t>
        </is>
      </c>
      <c r="Y144" t="inlineStr">
        <is>
          <t xml:space="preserve">Kevin Andre Lawson</t>
        </is>
      </c>
      <c r="Z144" t="inlineStr">
        <is>
          <t xml:space="preserve">Bank of America</t>
        </is>
      </c>
      <c r="AA144" s="77" t="inlineStr">
        <is>
          <t xml:space="preserve">4721836590214</t>
        </is>
      </c>
    </row>
    <row r="145">
      <c r="A145" t="inlineStr">
        <is>
          <t xml:space="preserve">Kevin Andre Lawson</t>
        </is>
      </c>
      <c r="B145" s="40">
        <v>4721836590214</v>
      </c>
      <c r="C145" t="inlineStr">
        <is>
          <t xml:space="preserve">P</t>
        </is>
      </c>
      <c r="D145" s="78">
        <f>D144+F145-G145</f>
      </c>
      <c r="E145" s="1">
        <v>46269</v>
      </c>
      <c r="F145" s="82">
        <v>0</v>
      </c>
      <c r="G145" s="82">
        <v>63.17</v>
      </c>
      <c r="H145" t="inlineStr">
        <is>
          <t xml:space="preserve">Debit Card</t>
        </is>
      </c>
      <c r="I145" t="inlineStr">
        <is>
          <t xml:space="preserve">D</t>
        </is>
      </c>
      <c r="J145" t="inlineStr">
        <is>
          <t xml:space="preserve">Untagged</t>
        </is>
      </c>
      <c r="K145" t="inlineStr">
        <is>
          <t xml:space="preserve">Publix Super Market</t>
        </is>
      </c>
      <c r="L145" t="inlineStr">
        <is>
          <t xml:space="preserve">4128 5530 9187 2264</t>
        </is>
      </c>
      <c r="N145" t="inlineStr">
        <is>
          <t xml:space="preserve">Orlando</t>
        </is>
      </c>
      <c r="O145" t="inlineStr">
        <is>
          <t xml:space="preserve">FL</t>
        </is>
      </c>
      <c r="P145">
        <v>32839</v>
      </c>
      <c r="S145" t="inlineStr">
        <is>
          <t xml:space="preserve">POS-ORL-1123</t>
        </is>
      </c>
      <c r="T145" s="81">
        <v>0.3923611111111111</v>
      </c>
      <c r="U145" s="1">
        <v>46270</v>
      </c>
      <c r="V145" t="inlineStr">
        <is>
          <t xml:space="preserve">Kevin Andre Lawson</t>
        </is>
      </c>
      <c r="W145" t="inlineStr">
        <is>
          <t xml:space="preserve">Bank of America</t>
        </is>
      </c>
      <c r="X145" s="77" t="inlineStr">
        <is>
          <t xml:space="preserve">4721836590214</t>
        </is>
      </c>
      <c r="Y145" t="inlineStr">
        <is>
          <t xml:space="preserve">Publix Super Market</t>
        </is>
      </c>
    </row>
    <row r="146">
      <c r="A146" t="inlineStr">
        <is>
          <t xml:space="preserve">Kevin Andre Lawson</t>
        </is>
      </c>
      <c r="B146" s="40">
        <v>4721836590214</v>
      </c>
      <c r="C146" t="inlineStr">
        <is>
          <t xml:space="preserve">P</t>
        </is>
      </c>
      <c r="D146" s="78">
        <f>D145+F146-G146</f>
      </c>
      <c r="E146" s="1">
        <v>46270</v>
      </c>
      <c r="F146" s="82">
        <v>400.0</v>
      </c>
      <c r="G146" s="82">
        <v>0</v>
      </c>
      <c r="H146" t="inlineStr">
        <is>
          <t xml:space="preserve">P2P</t>
        </is>
      </c>
      <c r="I146" t="inlineStr">
        <is>
          <t xml:space="preserve">C</t>
        </is>
      </c>
      <c r="J146" t="inlineStr">
        <is>
          <t xml:space="preserve">Untagged</t>
        </is>
      </c>
      <c r="K146" t="inlineStr">
        <is>
          <t xml:space="preserve">Zelle received</t>
        </is>
      </c>
      <c r="T146" s="81">
        <v>0.6673611111111111</v>
      </c>
      <c r="U146" s="1">
        <v>46270</v>
      </c>
      <c r="V146" t="inlineStr">
        <is>
          <t xml:space="preserve">Ashley Nguyen</t>
        </is>
      </c>
      <c r="W146" t="inlineStr">
        <is>
          <t xml:space="preserve">Chase</t>
        </is>
      </c>
      <c r="X146" s="77" t="inlineStr">
        <is>
          <t xml:space="preserve">ZELLE-S-1109</t>
        </is>
      </c>
      <c r="Y146" t="inlineStr">
        <is>
          <t xml:space="preserve">Kevin Andre Lawson</t>
        </is>
      </c>
      <c r="Z146" t="inlineStr">
        <is>
          <t xml:space="preserve">Bank of America</t>
        </is>
      </c>
      <c r="AA146" s="77" t="inlineStr">
        <is>
          <t xml:space="preserve">4721836590214</t>
        </is>
      </c>
      <c r="AB146" t="inlineStr">
        <is>
          <t xml:space="preserve">Sent</t>
        </is>
      </c>
    </row>
    <row r="147">
      <c r="A147" t="inlineStr">
        <is>
          <t xml:space="preserve">Kevin Andre Lawson</t>
        </is>
      </c>
      <c r="B147" s="40">
        <v>4721836590214</v>
      </c>
      <c r="C147" t="inlineStr">
        <is>
          <t xml:space="preserve">P</t>
        </is>
      </c>
      <c r="D147" s="78">
        <f>D146+F147-G147</f>
      </c>
      <c r="E147" s="1">
        <v>46275</v>
      </c>
      <c r="F147" s="82">
        <v>0</v>
      </c>
      <c r="G147" s="82">
        <v>58.12</v>
      </c>
      <c r="H147" t="inlineStr">
        <is>
          <t xml:space="preserve">Debit Card</t>
        </is>
      </c>
      <c r="I147" t="inlineStr">
        <is>
          <t xml:space="preserve">D</t>
        </is>
      </c>
      <c r="J147" t="inlineStr">
        <is>
          <t xml:space="preserve">Untagged</t>
        </is>
      </c>
      <c r="K147" t="inlineStr">
        <is>
          <t xml:space="preserve">Walmart Supercenter</t>
        </is>
      </c>
      <c r="L147" t="inlineStr">
        <is>
          <t xml:space="preserve">4128 5530 9187 2264</t>
        </is>
      </c>
      <c r="N147" t="inlineStr">
        <is>
          <t xml:space="preserve">Orlando</t>
        </is>
      </c>
      <c r="O147" t="inlineStr">
        <is>
          <t xml:space="preserve">FL</t>
        </is>
      </c>
      <c r="P147">
        <v>32839</v>
      </c>
      <c r="S147" t="inlineStr">
        <is>
          <t xml:space="preserve">POS-ORL-1699</t>
        </is>
      </c>
      <c r="T147" s="81">
        <v>0.5034722222222222</v>
      </c>
      <c r="U147" s="1">
        <v>46276</v>
      </c>
      <c r="V147" t="inlineStr">
        <is>
          <t xml:space="preserve">Kevin Andre Lawson</t>
        </is>
      </c>
      <c r="W147" t="inlineStr">
        <is>
          <t xml:space="preserve">Bank of America</t>
        </is>
      </c>
      <c r="X147" s="77" t="inlineStr">
        <is>
          <t xml:space="preserve">4721836590214</t>
        </is>
      </c>
      <c r="Y147" t="inlineStr">
        <is>
          <t xml:space="preserve">Walmart Supercenter</t>
        </is>
      </c>
    </row>
    <row r="148">
      <c r="A148" t="inlineStr">
        <is>
          <t xml:space="preserve">Kevin Andre Lawson</t>
        </is>
      </c>
      <c r="B148" s="40">
        <v>4721836590214</v>
      </c>
      <c r="C148" t="inlineStr">
        <is>
          <t xml:space="preserve">P</t>
        </is>
      </c>
      <c r="D148" s="78">
        <f>D147+F148-G148</f>
      </c>
      <c r="E148" s="1">
        <v>46276</v>
      </c>
      <c r="F148" s="82">
        <v>385.79</v>
      </c>
      <c r="G148" s="82">
        <v>0</v>
      </c>
      <c r="H148" t="inlineStr">
        <is>
          <t xml:space="preserve">ACH</t>
        </is>
      </c>
      <c r="I148" t="inlineStr">
        <is>
          <t xml:space="preserve">C</t>
        </is>
      </c>
      <c r="J148" t="inlineStr">
        <is>
          <t xml:space="preserve">Untagged</t>
        </is>
      </c>
      <c r="K148" t="inlineStr">
        <is>
          <t xml:space="preserve">Payroll deposit</t>
        </is>
      </c>
      <c r="U148" s="1">
        <v>46276</v>
      </c>
      <c r="V148" t="inlineStr">
        <is>
          <t xml:space="preserve">Walmart Inc.</t>
        </is>
      </c>
      <c r="W148" t="inlineStr">
        <is>
          <t xml:space="preserve">JPMorgan Chase</t>
        </is>
      </c>
      <c r="X148" s="77" t="inlineStr">
        <is>
          <t xml:space="preserve">PAYROLL-WMT-0911</t>
        </is>
      </c>
      <c r="Y148" t="inlineStr">
        <is>
          <t xml:space="preserve">Kevin Andre Lawson</t>
        </is>
      </c>
      <c r="Z148" t="inlineStr">
        <is>
          <t xml:space="preserve">Bank of America</t>
        </is>
      </c>
      <c r="AA148" s="77" t="inlineStr">
        <is>
          <t xml:space="preserve">4721836590214</t>
        </is>
      </c>
    </row>
    <row r="149">
      <c r="A149" t="inlineStr">
        <is>
          <t xml:space="preserve">Kevin Andre Lawson</t>
        </is>
      </c>
      <c r="B149" s="40">
        <v>4721836590214</v>
      </c>
      <c r="C149" t="inlineStr">
        <is>
          <t xml:space="preserve">P</t>
        </is>
      </c>
      <c r="D149" s="78">
        <f>D148+F149-G149</f>
      </c>
      <c r="E149" s="1">
        <v>46277</v>
      </c>
      <c r="F149" s="82">
        <v>425.0</v>
      </c>
      <c r="G149" s="82">
        <v>0</v>
      </c>
      <c r="H149" t="inlineStr">
        <is>
          <t xml:space="preserve">P2P</t>
        </is>
      </c>
      <c r="I149" t="inlineStr">
        <is>
          <t xml:space="preserve">C</t>
        </is>
      </c>
      <c r="J149" t="inlineStr">
        <is>
          <t xml:space="preserve">Untagged</t>
        </is>
      </c>
      <c r="K149" t="inlineStr">
        <is>
          <t xml:space="preserve">Zelle received</t>
        </is>
      </c>
      <c r="T149" s="81">
        <v>0.36736111111111114</v>
      </c>
      <c r="U149" s="1">
        <v>46277</v>
      </c>
      <c r="V149" t="inlineStr">
        <is>
          <t xml:space="preserve">Brianna Scott</t>
        </is>
      </c>
      <c r="W149" t="inlineStr">
        <is>
          <t xml:space="preserve">Truist</t>
        </is>
      </c>
      <c r="X149" s="77" t="inlineStr">
        <is>
          <t xml:space="preserve">ZELLE-S-1111</t>
        </is>
      </c>
      <c r="Y149" t="inlineStr">
        <is>
          <t xml:space="preserve">Kevin Andre Lawson</t>
        </is>
      </c>
      <c r="Z149" t="inlineStr">
        <is>
          <t xml:space="preserve">Bank of America</t>
        </is>
      </c>
      <c r="AA149" s="77" t="inlineStr">
        <is>
          <t xml:space="preserve">4721836590214</t>
        </is>
      </c>
    </row>
    <row r="150">
      <c r="A150" t="inlineStr">
        <is>
          <t xml:space="preserve">Kevin Andre Lawson</t>
        </is>
      </c>
      <c r="B150" s="40">
        <v>4721836590214</v>
      </c>
      <c r="C150" t="inlineStr">
        <is>
          <t xml:space="preserve">P</t>
        </is>
      </c>
      <c r="D150" s="78">
        <f>D149+F150-G150</f>
      </c>
      <c r="E150" s="1">
        <v>46277</v>
      </c>
      <c r="F150" s="82">
        <v>0</v>
      </c>
      <c r="G150" s="82">
        <v>122.15</v>
      </c>
      <c r="H150" t="inlineStr">
        <is>
          <t xml:space="preserve">ACH</t>
        </is>
      </c>
      <c r="I150" t="inlineStr">
        <is>
          <t xml:space="preserve">D</t>
        </is>
      </c>
      <c r="J150" t="inlineStr">
        <is>
          <t xml:space="preserve">Untagged</t>
        </is>
      </c>
      <c r="K150" t="inlineStr">
        <is>
          <t xml:space="preserve">Electric &amp; water utility</t>
        </is>
      </c>
      <c r="N150" t="inlineStr">
        <is>
          <t xml:space="preserve">Orlando</t>
        </is>
      </c>
      <c r="O150" t="inlineStr">
        <is>
          <t xml:space="preserve">FL</t>
        </is>
      </c>
      <c r="P150">
        <v>32839</v>
      </c>
      <c r="U150" s="1">
        <v>46277</v>
      </c>
      <c r="V150" t="inlineStr">
        <is>
          <t xml:space="preserve">Kevin Andre Lawson</t>
        </is>
      </c>
      <c r="W150" t="inlineStr">
        <is>
          <t xml:space="preserve">Bank of America</t>
        </is>
      </c>
      <c r="X150" s="77" t="inlineStr">
        <is>
          <t xml:space="preserve">4721836590214</t>
        </is>
      </c>
      <c r="Y150" t="inlineStr">
        <is>
          <t xml:space="preserve">Orlando Utilities Commission</t>
        </is>
      </c>
      <c r="Z150" t="inlineStr">
        <is>
          <t xml:space="preserve">Wells Fargo</t>
        </is>
      </c>
      <c r="AA150" s="77" t="inlineStr">
        <is>
          <t xml:space="preserve">UTIL-OUC</t>
        </is>
      </c>
    </row>
    <row r="151">
      <c r="A151" t="inlineStr">
        <is>
          <t xml:space="preserve">Kevin Andre Lawson</t>
        </is>
      </c>
      <c r="B151" s="40">
        <v>4721836590214</v>
      </c>
      <c r="C151" t="inlineStr">
        <is>
          <t xml:space="preserve">P</t>
        </is>
      </c>
      <c r="D151" s="78">
        <f>D150+F151-G151</f>
      </c>
      <c r="E151" s="1">
        <v>46279</v>
      </c>
      <c r="F151" s="82">
        <v>250.0</v>
      </c>
      <c r="G151" s="82">
        <v>0</v>
      </c>
      <c r="H151" t="inlineStr">
        <is>
          <t xml:space="preserve">P2P</t>
        </is>
      </c>
      <c r="I151" t="inlineStr">
        <is>
          <t xml:space="preserve">C</t>
        </is>
      </c>
      <c r="J151" t="inlineStr">
        <is>
          <t xml:space="preserve">Untagged</t>
        </is>
      </c>
      <c r="K151" t="inlineStr">
        <is>
          <t xml:space="preserve">Zelle received</t>
        </is>
      </c>
      <c r="T151" s="81">
        <v>0.6520833333333333</v>
      </c>
      <c r="U151" s="1">
        <v>46279</v>
      </c>
      <c r="V151" t="inlineStr">
        <is>
          <t xml:space="preserve">Brianna Scott</t>
        </is>
      </c>
      <c r="W151" t="inlineStr">
        <is>
          <t xml:space="preserve">Truist</t>
        </is>
      </c>
      <c r="X151" s="77" t="inlineStr">
        <is>
          <t xml:space="preserve">ZELLE-S-1111</t>
        </is>
      </c>
      <c r="Y151" t="inlineStr">
        <is>
          <t xml:space="preserve">Kevin Andre Lawson</t>
        </is>
      </c>
      <c r="Z151" t="inlineStr">
        <is>
          <t xml:space="preserve">Bank of America</t>
        </is>
      </c>
      <c r="AA151" s="77" t="inlineStr">
        <is>
          <t xml:space="preserve">4721836590214</t>
        </is>
      </c>
    </row>
    <row r="152">
      <c r="A152" t="inlineStr">
        <is>
          <t xml:space="preserve">Kevin Andre Lawson</t>
        </is>
      </c>
      <c r="B152" s="40">
        <v>4721836590214</v>
      </c>
      <c r="C152" t="inlineStr">
        <is>
          <t xml:space="preserve">P</t>
        </is>
      </c>
      <c r="D152" s="78">
        <f>D151+F152-G152</f>
      </c>
      <c r="E152" s="1">
        <v>46279</v>
      </c>
      <c r="F152" s="82">
        <v>0</v>
      </c>
      <c r="G152" s="82">
        <v>42.97</v>
      </c>
      <c r="H152" t="inlineStr">
        <is>
          <t xml:space="preserve">Debit Card</t>
        </is>
      </c>
      <c r="I152" t="inlineStr">
        <is>
          <t xml:space="preserve">D</t>
        </is>
      </c>
      <c r="J152" t="inlineStr">
        <is>
          <t xml:space="preserve">Untagged</t>
        </is>
      </c>
      <c r="K152" t="inlineStr">
        <is>
          <t xml:space="preserve">RaceTrac fuel</t>
        </is>
      </c>
      <c r="L152" t="inlineStr">
        <is>
          <t xml:space="preserve">4128 5530 9187 2264</t>
        </is>
      </c>
      <c r="N152" t="inlineStr">
        <is>
          <t xml:space="preserve">Orlando</t>
        </is>
      </c>
      <c r="O152" t="inlineStr">
        <is>
          <t xml:space="preserve">FL</t>
        </is>
      </c>
      <c r="P152">
        <v>32839</v>
      </c>
      <c r="S152" t="inlineStr">
        <is>
          <t xml:space="preserve">POS-ORL-2290</t>
        </is>
      </c>
      <c r="T152" s="81">
        <v>0.5895833333333333</v>
      </c>
      <c r="U152" s="1">
        <v>46280</v>
      </c>
      <c r="V152" t="inlineStr">
        <is>
          <t xml:space="preserve">Kevin Andre Lawson</t>
        </is>
      </c>
      <c r="W152" t="inlineStr">
        <is>
          <t xml:space="preserve">Bank of America</t>
        </is>
      </c>
      <c r="X152" s="77" t="inlineStr">
        <is>
          <t xml:space="preserve">4721836590214</t>
        </is>
      </c>
      <c r="Y152" t="inlineStr">
        <is>
          <t xml:space="preserve">RaceTrac</t>
        </is>
      </c>
    </row>
    <row r="153">
      <c r="A153" t="inlineStr">
        <is>
          <t xml:space="preserve">Kevin Andre Lawson</t>
        </is>
      </c>
      <c r="B153" s="40">
        <v>4721836590214</v>
      </c>
      <c r="C153" t="inlineStr">
        <is>
          <t xml:space="preserve">P</t>
        </is>
      </c>
      <c r="D153" s="78">
        <f>D152+F153-G153</f>
      </c>
      <c r="E153" s="1">
        <v>46279</v>
      </c>
      <c r="F153" s="82">
        <v>0</v>
      </c>
      <c r="G153" s="82">
        <v>100.0</v>
      </c>
      <c r="H153" t="inlineStr">
        <is>
          <t xml:space="preserve">Internal Transfer</t>
        </is>
      </c>
      <c r="I153" t="inlineStr">
        <is>
          <t xml:space="preserve">D</t>
        </is>
      </c>
      <c r="J153" t="inlineStr">
        <is>
          <t xml:space="preserve">Untagged</t>
        </is>
      </c>
      <c r="K153" t="inlineStr">
        <is>
          <t xml:space="preserve">Transfer to savings</t>
        </is>
      </c>
      <c r="U153" s="1">
        <v>46279</v>
      </c>
      <c r="V153" t="inlineStr">
        <is>
          <t xml:space="preserve">Kevin Andre Lawson</t>
        </is>
      </c>
      <c r="W153" t="inlineStr">
        <is>
          <t xml:space="preserve">Bank of America</t>
        </is>
      </c>
      <c r="X153" s="77" t="inlineStr">
        <is>
          <t xml:space="preserve">4721836590214</t>
        </is>
      </c>
      <c r="Y153" t="inlineStr">
        <is>
          <t xml:space="preserve">Kevin Andre Lawson</t>
        </is>
      </c>
      <c r="Z153" t="inlineStr">
        <is>
          <t xml:space="preserve">Bank of America</t>
        </is>
      </c>
      <c r="AA153" s="77" t="inlineStr">
        <is>
          <t xml:space="preserve">4721836590873</t>
        </is>
      </c>
    </row>
    <row r="154">
      <c r="A154" t="inlineStr">
        <is>
          <t xml:space="preserve">Kevin Andre Lawson</t>
        </is>
      </c>
      <c r="B154" s="40">
        <v>4721836590214</v>
      </c>
      <c r="C154" t="inlineStr">
        <is>
          <t xml:space="preserve">P</t>
        </is>
      </c>
      <c r="D154" s="78">
        <f>D153+F154-G154</f>
      </c>
      <c r="E154" s="1">
        <v>46280</v>
      </c>
      <c r="F154" s="82">
        <v>200.0</v>
      </c>
      <c r="G154" s="82">
        <v>0</v>
      </c>
      <c r="H154" t="inlineStr">
        <is>
          <t xml:space="preserve">P2P</t>
        </is>
      </c>
      <c r="I154" t="inlineStr">
        <is>
          <t xml:space="preserve">C</t>
        </is>
      </c>
      <c r="J154" t="inlineStr">
        <is>
          <t xml:space="preserve">Untagged</t>
        </is>
      </c>
      <c r="K154" t="inlineStr">
        <is>
          <t xml:space="preserve">Zelle received</t>
        </is>
      </c>
      <c r="T154" s="81">
        <v>0.5715277777777777</v>
      </c>
      <c r="U154" s="1">
        <v>46280</v>
      </c>
      <c r="V154" t="inlineStr">
        <is>
          <t xml:space="preserve">Alyssa Grant</t>
        </is>
      </c>
      <c r="W154" t="inlineStr">
        <is>
          <t xml:space="preserve">Citibank</t>
        </is>
      </c>
      <c r="X154" s="77" t="inlineStr">
        <is>
          <t xml:space="preserve">ZELLE-S-1135</t>
        </is>
      </c>
      <c r="Y154" t="inlineStr">
        <is>
          <t xml:space="preserve">Kevin Andre Lawson</t>
        </is>
      </c>
      <c r="Z154" t="inlineStr">
        <is>
          <t xml:space="preserve">Bank of America</t>
        </is>
      </c>
      <c r="AA154" s="77" t="inlineStr">
        <is>
          <t xml:space="preserve">4721836590214</t>
        </is>
      </c>
    </row>
    <row r="155">
      <c r="A155" t="inlineStr">
        <is>
          <t xml:space="preserve">Kevin Andre Lawson</t>
        </is>
      </c>
      <c r="B155" s="40">
        <v>4721836590214</v>
      </c>
      <c r="C155" t="inlineStr">
        <is>
          <t xml:space="preserve">P</t>
        </is>
      </c>
      <c r="D155" s="78">
        <f>D154+F155-G155</f>
      </c>
      <c r="E155" s="1">
        <v>46282</v>
      </c>
      <c r="F155" s="82">
        <v>400.0</v>
      </c>
      <c r="G155" s="82">
        <v>0</v>
      </c>
      <c r="H155" t="inlineStr">
        <is>
          <t xml:space="preserve">P2P</t>
        </is>
      </c>
      <c r="I155" t="inlineStr">
        <is>
          <t xml:space="preserve">C</t>
        </is>
      </c>
      <c r="J155" t="inlineStr">
        <is>
          <t xml:space="preserve">Untagged</t>
        </is>
      </c>
      <c r="K155" t="inlineStr">
        <is>
          <t xml:space="preserve">Zelle received</t>
        </is>
      </c>
      <c r="T155" s="81">
        <v>0.6597222222222222</v>
      </c>
      <c r="U155" s="1">
        <v>46282</v>
      </c>
      <c r="V155" t="inlineStr">
        <is>
          <t xml:space="preserve">Keisha Lawrence</t>
        </is>
      </c>
      <c r="W155" t="inlineStr">
        <is>
          <t xml:space="preserve">TD Bank</t>
        </is>
      </c>
      <c r="X155" s="77" t="inlineStr">
        <is>
          <t xml:space="preserve">ZELLE-S-1133</t>
        </is>
      </c>
      <c r="Y155" t="inlineStr">
        <is>
          <t xml:space="preserve">Kevin Andre Lawson</t>
        </is>
      </c>
      <c r="Z155" t="inlineStr">
        <is>
          <t xml:space="preserve">Bank of America</t>
        </is>
      </c>
      <c r="AA155" s="77" t="inlineStr">
        <is>
          <t xml:space="preserve">4721836590214</t>
        </is>
      </c>
    </row>
    <row r="156">
      <c r="A156" t="inlineStr">
        <is>
          <t xml:space="preserve">Kevin Andre Lawson</t>
        </is>
      </c>
      <c r="B156" s="40">
        <v>4721836590214</v>
      </c>
      <c r="C156" t="inlineStr">
        <is>
          <t xml:space="preserve">P</t>
        </is>
      </c>
      <c r="D156" s="78">
        <f>D155+F156-G156</f>
      </c>
      <c r="E156" s="1">
        <v>46283</v>
      </c>
      <c r="F156" s="82">
        <v>382.89</v>
      </c>
      <c r="G156" s="82">
        <v>0</v>
      </c>
      <c r="H156" t="inlineStr">
        <is>
          <t xml:space="preserve">ACH</t>
        </is>
      </c>
      <c r="I156" t="inlineStr">
        <is>
          <t xml:space="preserve">C</t>
        </is>
      </c>
      <c r="J156" t="inlineStr">
        <is>
          <t xml:space="preserve">Untagged</t>
        </is>
      </c>
      <c r="K156" t="inlineStr">
        <is>
          <t xml:space="preserve">Payroll deposit</t>
        </is>
      </c>
      <c r="U156" s="1">
        <v>46283</v>
      </c>
      <c r="V156" t="inlineStr">
        <is>
          <t xml:space="preserve">Walmart Inc.</t>
        </is>
      </c>
      <c r="W156" t="inlineStr">
        <is>
          <t xml:space="preserve">JPMorgan Chase</t>
        </is>
      </c>
      <c r="X156" s="77" t="inlineStr">
        <is>
          <t xml:space="preserve">PAYROLL-WMT-0918</t>
        </is>
      </c>
      <c r="Y156" t="inlineStr">
        <is>
          <t xml:space="preserve">Kevin Andre Lawson</t>
        </is>
      </c>
      <c r="Z156" t="inlineStr">
        <is>
          <t xml:space="preserve">Bank of America</t>
        </is>
      </c>
      <c r="AA156" s="77" t="inlineStr">
        <is>
          <t xml:space="preserve">4721836590214</t>
        </is>
      </c>
    </row>
    <row r="157">
      <c r="A157" t="inlineStr">
        <is>
          <t xml:space="preserve">Kevin Andre Lawson</t>
        </is>
      </c>
      <c r="B157" s="40">
        <v>4721836590214</v>
      </c>
      <c r="C157" t="inlineStr">
        <is>
          <t xml:space="preserve">P</t>
        </is>
      </c>
      <c r="D157" s="78">
        <f>D156+F157-G157</f>
      </c>
      <c r="E157" s="1">
        <v>46283</v>
      </c>
      <c r="F157" s="82">
        <v>200.0</v>
      </c>
      <c r="G157" s="82">
        <v>0</v>
      </c>
      <c r="H157" t="inlineStr">
        <is>
          <t xml:space="preserve">P2P</t>
        </is>
      </c>
      <c r="I157" t="inlineStr">
        <is>
          <t xml:space="preserve">C</t>
        </is>
      </c>
      <c r="J157" t="inlineStr">
        <is>
          <t xml:space="preserve">Untagged</t>
        </is>
      </c>
      <c r="K157" t="inlineStr">
        <is>
          <t xml:space="preserve">Zelle received</t>
        </is>
      </c>
      <c r="T157" s="81">
        <v>0.4666666666666667</v>
      </c>
      <c r="U157" s="1">
        <v>46283</v>
      </c>
      <c r="V157" t="inlineStr">
        <is>
          <t xml:space="preserve">Alyssa Grant</t>
        </is>
      </c>
      <c r="W157" t="inlineStr">
        <is>
          <t xml:space="preserve">Citibank</t>
        </is>
      </c>
      <c r="X157" s="77" t="inlineStr">
        <is>
          <t xml:space="preserve">ZELLE-S-1135</t>
        </is>
      </c>
      <c r="Y157" t="inlineStr">
        <is>
          <t xml:space="preserve">Kevin Andre Lawson</t>
        </is>
      </c>
      <c r="Z157" t="inlineStr">
        <is>
          <t xml:space="preserve">Bank of America</t>
        </is>
      </c>
      <c r="AA157" s="77" t="inlineStr">
        <is>
          <t xml:space="preserve">4721836590214</t>
        </is>
      </c>
      <c r="AB157" t="inlineStr">
        <is>
          <t xml:space="preserve">For you</t>
        </is>
      </c>
    </row>
    <row r="158">
      <c r="A158" t="inlineStr">
        <is>
          <t xml:space="preserve">Kevin Andre Lawson</t>
        </is>
      </c>
      <c r="B158" s="40">
        <v>4721836590214</v>
      </c>
      <c r="C158" t="inlineStr">
        <is>
          <t xml:space="preserve">P</t>
        </is>
      </c>
      <c r="D158" s="78">
        <f>D157+F158-G158</f>
      </c>
      <c r="E158" s="1">
        <v>46283</v>
      </c>
      <c r="F158" s="82">
        <v>0</v>
      </c>
      <c r="G158" s="82">
        <v>55.0</v>
      </c>
      <c r="H158" t="inlineStr">
        <is>
          <t xml:space="preserve">ACH</t>
        </is>
      </c>
      <c r="I158" t="inlineStr">
        <is>
          <t xml:space="preserve">D</t>
        </is>
      </c>
      <c r="J158" t="inlineStr">
        <is>
          <t xml:space="preserve">Untagged</t>
        </is>
      </c>
      <c r="K158" t="inlineStr">
        <is>
          <t xml:space="preserve">Mobile phone bill</t>
        </is>
      </c>
      <c r="N158" t="inlineStr">
        <is>
          <t xml:space="preserve">Orlando</t>
        </is>
      </c>
      <c r="O158" t="inlineStr">
        <is>
          <t xml:space="preserve">FL</t>
        </is>
      </c>
      <c r="P158">
        <v>32839</v>
      </c>
      <c r="U158" s="1">
        <v>46283</v>
      </c>
      <c r="V158" t="inlineStr">
        <is>
          <t xml:space="preserve">Kevin Andre Lawson</t>
        </is>
      </c>
      <c r="W158" t="inlineStr">
        <is>
          <t xml:space="preserve">Bank of America</t>
        </is>
      </c>
      <c r="X158" s="77" t="inlineStr">
        <is>
          <t xml:space="preserve">4721836590214</t>
        </is>
      </c>
      <c r="Y158" t="inlineStr">
        <is>
          <t xml:space="preserve">T-Mobile</t>
        </is>
      </c>
      <c r="Z158" t="inlineStr">
        <is>
          <t xml:space="preserve">Citibank</t>
        </is>
      </c>
      <c r="AA158" s="77" t="inlineStr">
        <is>
          <t xml:space="preserve">UTIL-TMO</t>
        </is>
      </c>
    </row>
    <row r="159">
      <c r="A159" t="inlineStr">
        <is>
          <t xml:space="preserve">Kevin Andre Lawson</t>
        </is>
      </c>
      <c r="B159" s="40">
        <v>4721836590214</v>
      </c>
      <c r="C159" t="inlineStr">
        <is>
          <t xml:space="preserve">P</t>
        </is>
      </c>
      <c r="D159" s="78">
        <f>D158+F159-G159</f>
      </c>
      <c r="E159" s="1">
        <v>46284</v>
      </c>
      <c r="F159" s="82">
        <v>500.0</v>
      </c>
      <c r="G159" s="82">
        <v>0</v>
      </c>
      <c r="H159" t="inlineStr">
        <is>
          <t xml:space="preserve">P2P</t>
        </is>
      </c>
      <c r="I159" t="inlineStr">
        <is>
          <t xml:space="preserve">C</t>
        </is>
      </c>
      <c r="J159" t="inlineStr">
        <is>
          <t xml:space="preserve">Untagged</t>
        </is>
      </c>
      <c r="K159" t="inlineStr">
        <is>
          <t xml:space="preserve">Zelle received</t>
        </is>
      </c>
      <c r="T159" s="81">
        <v>0.3972222222222222</v>
      </c>
      <c r="U159" s="1">
        <v>46284</v>
      </c>
      <c r="V159" t="inlineStr">
        <is>
          <t xml:space="preserve">Luis Ortega</t>
        </is>
      </c>
      <c r="W159" t="inlineStr">
        <is>
          <t xml:space="preserve">Bank of America</t>
        </is>
      </c>
      <c r="X159" s="77" t="inlineStr">
        <is>
          <t xml:space="preserve">ZELLE-S-1102</t>
        </is>
      </c>
      <c r="Y159" t="inlineStr">
        <is>
          <t xml:space="preserve">Kevin Andre Lawson</t>
        </is>
      </c>
      <c r="Z159" t="inlineStr">
        <is>
          <t xml:space="preserve">Bank of America</t>
        </is>
      </c>
      <c r="AA159" s="77" t="inlineStr">
        <is>
          <t xml:space="preserve">4721836590214</t>
        </is>
      </c>
      <c r="AB159" t="inlineStr">
        <is>
          <t xml:space="preserve">Sent</t>
        </is>
      </c>
    </row>
    <row r="160">
      <c r="A160" t="inlineStr">
        <is>
          <t xml:space="preserve">Kevin Andre Lawson</t>
        </is>
      </c>
      <c r="B160" s="40">
        <v>4721836590214</v>
      </c>
      <c r="C160" t="inlineStr">
        <is>
          <t xml:space="preserve">P</t>
        </is>
      </c>
      <c r="D160" s="78">
        <f>D159+F160-G160</f>
      </c>
      <c r="E160" s="1">
        <v>46286</v>
      </c>
      <c r="F160" s="82">
        <v>0</v>
      </c>
      <c r="G160" s="82">
        <v>41.14</v>
      </c>
      <c r="H160" t="inlineStr">
        <is>
          <t xml:space="preserve">Debit Card</t>
        </is>
      </c>
      <c r="I160" t="inlineStr">
        <is>
          <t xml:space="preserve">D</t>
        </is>
      </c>
      <c r="J160" t="inlineStr">
        <is>
          <t xml:space="preserve">Untagged</t>
        </is>
      </c>
      <c r="K160" t="inlineStr">
        <is>
          <t xml:space="preserve">Shell fuel</t>
        </is>
      </c>
      <c r="L160" t="inlineStr">
        <is>
          <t xml:space="preserve">4128 5530 9187 2264</t>
        </is>
      </c>
      <c r="N160" t="inlineStr">
        <is>
          <t xml:space="preserve">Orlando</t>
        </is>
      </c>
      <c r="O160" t="inlineStr">
        <is>
          <t xml:space="preserve">FL</t>
        </is>
      </c>
      <c r="P160">
        <v>32839</v>
      </c>
      <c r="S160" t="inlineStr">
        <is>
          <t xml:space="preserve">POS-ORL-2844</t>
        </is>
      </c>
      <c r="T160" s="81">
        <v>0.3763888888888889</v>
      </c>
      <c r="U160" s="1">
        <v>46287</v>
      </c>
      <c r="V160" t="inlineStr">
        <is>
          <t xml:space="preserve">Kevin Andre Lawson</t>
        </is>
      </c>
      <c r="W160" t="inlineStr">
        <is>
          <t xml:space="preserve">Bank of America</t>
        </is>
      </c>
      <c r="X160" s="77" t="inlineStr">
        <is>
          <t xml:space="preserve">4721836590214</t>
        </is>
      </c>
      <c r="Y160" t="inlineStr">
        <is>
          <t xml:space="preserve">Shell</t>
        </is>
      </c>
    </row>
    <row r="161">
      <c r="A161" t="inlineStr">
        <is>
          <t xml:space="preserve">Kevin Andre Lawson</t>
        </is>
      </c>
      <c r="B161" s="40">
        <v>4721836590214</v>
      </c>
      <c r="C161" t="inlineStr">
        <is>
          <t xml:space="preserve">P</t>
        </is>
      </c>
      <c r="D161" s="78">
        <f>D160+F161-G161</f>
      </c>
      <c r="E161" s="1">
        <v>46287</v>
      </c>
      <c r="F161" s="82">
        <v>200.0</v>
      </c>
      <c r="G161" s="82">
        <v>0</v>
      </c>
      <c r="H161" t="inlineStr">
        <is>
          <t xml:space="preserve">P2P</t>
        </is>
      </c>
      <c r="I161" t="inlineStr">
        <is>
          <t xml:space="preserve">C</t>
        </is>
      </c>
      <c r="J161" t="inlineStr">
        <is>
          <t xml:space="preserve">Untagged</t>
        </is>
      </c>
      <c r="K161" t="inlineStr">
        <is>
          <t xml:space="preserve">Zelle received</t>
        </is>
      </c>
      <c r="T161" s="81">
        <v>0.8729166666666667</v>
      </c>
      <c r="U161" s="1">
        <v>46287</v>
      </c>
      <c r="V161" t="inlineStr">
        <is>
          <t xml:space="preserve">Alyssa Grant</t>
        </is>
      </c>
      <c r="W161" t="inlineStr">
        <is>
          <t xml:space="preserve">Citibank</t>
        </is>
      </c>
      <c r="X161" s="77" t="inlineStr">
        <is>
          <t xml:space="preserve">ZELLE-S-1135</t>
        </is>
      </c>
      <c r="Y161" t="inlineStr">
        <is>
          <t xml:space="preserve">Kevin Andre Lawson</t>
        </is>
      </c>
      <c r="Z161" t="inlineStr">
        <is>
          <t xml:space="preserve">Bank of America</t>
        </is>
      </c>
      <c r="AA161" s="77" t="inlineStr">
        <is>
          <t xml:space="preserve">4721836590214</t>
        </is>
      </c>
    </row>
    <row r="162">
      <c r="A162" t="inlineStr">
        <is>
          <t xml:space="preserve">Kevin Andre Lawson</t>
        </is>
      </c>
      <c r="B162" s="40">
        <v>4721836590214</v>
      </c>
      <c r="C162" t="inlineStr">
        <is>
          <t xml:space="preserve">P</t>
        </is>
      </c>
      <c r="D162" s="78">
        <f>D161+F162-G162</f>
      </c>
      <c r="E162" s="1">
        <v>46287</v>
      </c>
      <c r="F162" s="82">
        <v>0</v>
      </c>
      <c r="G162" s="82">
        <v>112.4</v>
      </c>
      <c r="H162" t="inlineStr">
        <is>
          <t xml:space="preserve">ACH</t>
        </is>
      </c>
      <c r="I162" t="inlineStr">
        <is>
          <t xml:space="preserve">D</t>
        </is>
      </c>
      <c r="J162" t="inlineStr">
        <is>
          <t xml:space="preserve">Untagged</t>
        </is>
      </c>
      <c r="K162" t="inlineStr">
        <is>
          <t xml:space="preserve">Auto insurance premium</t>
        </is>
      </c>
      <c r="N162" t="inlineStr">
        <is>
          <t xml:space="preserve">Orlando</t>
        </is>
      </c>
      <c r="O162" t="inlineStr">
        <is>
          <t xml:space="preserve">FL</t>
        </is>
      </c>
      <c r="P162">
        <v>32839</v>
      </c>
      <c r="U162" s="1">
        <v>46287</v>
      </c>
      <c r="V162" t="inlineStr">
        <is>
          <t xml:space="preserve">Kevin Andre Lawson</t>
        </is>
      </c>
      <c r="W162" t="inlineStr">
        <is>
          <t xml:space="preserve">Bank of America</t>
        </is>
      </c>
      <c r="X162" s="77" t="inlineStr">
        <is>
          <t xml:space="preserve">4721836590214</t>
        </is>
      </c>
      <c r="Y162" t="inlineStr">
        <is>
          <t xml:space="preserve">GEICO</t>
        </is>
      </c>
      <c r="Z162" t="inlineStr">
        <is>
          <t xml:space="preserve">Bank of America</t>
        </is>
      </c>
      <c r="AA162" s="77" t="inlineStr">
        <is>
          <t xml:space="preserve">INS-GEICO</t>
        </is>
      </c>
    </row>
    <row r="163">
      <c r="A163" t="inlineStr">
        <is>
          <t xml:space="preserve">Kevin Andre Lawson</t>
        </is>
      </c>
      <c r="B163" s="40">
        <v>4721836590214</v>
      </c>
      <c r="C163" t="inlineStr">
        <is>
          <t xml:space="preserve">P</t>
        </is>
      </c>
      <c r="D163" s="78">
        <f>D162+F163-G163</f>
      </c>
      <c r="E163" s="1">
        <v>46289</v>
      </c>
      <c r="F163" s="82">
        <v>320.0</v>
      </c>
      <c r="G163" s="82">
        <v>0</v>
      </c>
      <c r="H163" t="inlineStr">
        <is>
          <t xml:space="preserve">P2P</t>
        </is>
      </c>
      <c r="I163" t="inlineStr">
        <is>
          <t xml:space="preserve">C</t>
        </is>
      </c>
      <c r="J163" t="inlineStr">
        <is>
          <t xml:space="preserve">Untagged</t>
        </is>
      </c>
      <c r="K163" t="inlineStr">
        <is>
          <t xml:space="preserve">Zelle received</t>
        </is>
      </c>
      <c r="T163" s="81">
        <v>0.7305555555555555</v>
      </c>
      <c r="U163" s="1">
        <v>46289</v>
      </c>
      <c r="V163" t="inlineStr">
        <is>
          <t xml:space="preserve">Marcus Webb</t>
        </is>
      </c>
      <c r="W163" t="inlineStr">
        <is>
          <t xml:space="preserve">Wells Fargo</t>
        </is>
      </c>
      <c r="X163" s="77" t="inlineStr">
        <is>
          <t xml:space="preserve">ZELLE-S-1128</t>
        </is>
      </c>
      <c r="Y163" t="inlineStr">
        <is>
          <t xml:space="preserve">Kevin Andre Lawson</t>
        </is>
      </c>
      <c r="Z163" t="inlineStr">
        <is>
          <t xml:space="preserve">Bank of America</t>
        </is>
      </c>
      <c r="AA163" s="77" t="inlineStr">
        <is>
          <t xml:space="preserve">4721836590214</t>
        </is>
      </c>
      <c r="AB163" t="inlineStr">
        <is>
          <t xml:space="preserve">Help</t>
        </is>
      </c>
    </row>
    <row r="164">
      <c r="A164" t="inlineStr">
        <is>
          <t xml:space="preserve">Kevin Andre Lawson</t>
        </is>
      </c>
      <c r="B164" s="40">
        <v>4721836590214</v>
      </c>
      <c r="C164" t="inlineStr">
        <is>
          <t xml:space="preserve">P</t>
        </is>
      </c>
      <c r="D164" s="78">
        <f>D163+F164-G164</f>
      </c>
      <c r="E164" s="1">
        <v>46290</v>
      </c>
      <c r="F164" s="82">
        <v>382.36</v>
      </c>
      <c r="G164" s="82">
        <v>0</v>
      </c>
      <c r="H164" t="inlineStr">
        <is>
          <t xml:space="preserve">ACH</t>
        </is>
      </c>
      <c r="I164" t="inlineStr">
        <is>
          <t xml:space="preserve">C</t>
        </is>
      </c>
      <c r="J164" t="inlineStr">
        <is>
          <t xml:space="preserve">Untagged</t>
        </is>
      </c>
      <c r="K164" t="inlineStr">
        <is>
          <t xml:space="preserve">Payroll deposit</t>
        </is>
      </c>
      <c r="U164" s="1">
        <v>46290</v>
      </c>
      <c r="V164" t="inlineStr">
        <is>
          <t xml:space="preserve">Walmart Inc.</t>
        </is>
      </c>
      <c r="W164" t="inlineStr">
        <is>
          <t xml:space="preserve">JPMorgan Chase</t>
        </is>
      </c>
      <c r="X164" s="77" t="inlineStr">
        <is>
          <t xml:space="preserve">PAYROLL-WMT-0925</t>
        </is>
      </c>
      <c r="Y164" t="inlineStr">
        <is>
          <t xml:space="preserve">Kevin Andre Lawson</t>
        </is>
      </c>
      <c r="Z164" t="inlineStr">
        <is>
          <t xml:space="preserve">Bank of America</t>
        </is>
      </c>
      <c r="AA164" s="77" t="inlineStr">
        <is>
          <t xml:space="preserve">4721836590214</t>
        </is>
      </c>
    </row>
    <row r="165">
      <c r="A165" t="inlineStr">
        <is>
          <t xml:space="preserve">Kevin Andre Lawson</t>
        </is>
      </c>
      <c r="B165" s="40">
        <v>4721836590214</v>
      </c>
      <c r="C165" t="inlineStr">
        <is>
          <t xml:space="preserve">P</t>
        </is>
      </c>
      <c r="D165" s="78">
        <f>D164+F165-G165</f>
      </c>
      <c r="E165" s="1">
        <v>46292</v>
      </c>
      <c r="F165" s="82">
        <v>0</v>
      </c>
      <c r="G165" s="82">
        <v>46.05</v>
      </c>
      <c r="H165" t="inlineStr">
        <is>
          <t xml:space="preserve">Debit Card</t>
        </is>
      </c>
      <c r="I165" t="inlineStr">
        <is>
          <t xml:space="preserve">D</t>
        </is>
      </c>
      <c r="J165" t="inlineStr">
        <is>
          <t xml:space="preserve">Untagged</t>
        </is>
      </c>
      <c r="K165" t="inlineStr">
        <is>
          <t xml:space="preserve">Shell fuel</t>
        </is>
      </c>
      <c r="L165" t="inlineStr">
        <is>
          <t xml:space="preserve">4128 5530 9187 2264</t>
        </is>
      </c>
      <c r="N165" t="inlineStr">
        <is>
          <t xml:space="preserve">Orlando</t>
        </is>
      </c>
      <c r="O165" t="inlineStr">
        <is>
          <t xml:space="preserve">FL</t>
        </is>
      </c>
      <c r="P165">
        <v>32839</v>
      </c>
      <c r="S165" t="inlineStr">
        <is>
          <t xml:space="preserve">POS-ORL-2751</t>
        </is>
      </c>
      <c r="T165" s="81">
        <v>0.7270833333333333</v>
      </c>
      <c r="U165" s="1">
        <v>46293</v>
      </c>
      <c r="V165" t="inlineStr">
        <is>
          <t xml:space="preserve">Kevin Andre Lawson</t>
        </is>
      </c>
      <c r="W165" t="inlineStr">
        <is>
          <t xml:space="preserve">Bank of America</t>
        </is>
      </c>
      <c r="X165" s="77" t="inlineStr">
        <is>
          <t xml:space="preserve">4721836590214</t>
        </is>
      </c>
      <c r="Y165" t="inlineStr">
        <is>
          <t xml:space="preserve">Shell</t>
        </is>
      </c>
    </row>
    <row r="166">
      <c r="A166" t="inlineStr">
        <is>
          <t xml:space="preserve">Kevin Andre Lawson</t>
        </is>
      </c>
      <c r="B166" s="40">
        <v>4721836590214</v>
      </c>
      <c r="C166" t="inlineStr">
        <is>
          <t xml:space="preserve">P</t>
        </is>
      </c>
      <c r="D166" s="78">
        <f>D165+F166-G166</f>
      </c>
      <c r="E166" s="1">
        <v>46293</v>
      </c>
      <c r="F166" s="82">
        <v>0</v>
      </c>
      <c r="G166" s="82">
        <v>87.22</v>
      </c>
      <c r="H166" t="inlineStr">
        <is>
          <t xml:space="preserve">Debit Card</t>
        </is>
      </c>
      <c r="I166" t="inlineStr">
        <is>
          <t xml:space="preserve">D</t>
        </is>
      </c>
      <c r="J166" t="inlineStr">
        <is>
          <t xml:space="preserve">Untagged</t>
        </is>
      </c>
      <c r="K166" t="inlineStr">
        <is>
          <t xml:space="preserve">Aldi</t>
        </is>
      </c>
      <c r="L166" t="inlineStr">
        <is>
          <t xml:space="preserve">4128 5530 9187 2264</t>
        </is>
      </c>
      <c r="N166" t="inlineStr">
        <is>
          <t xml:space="preserve">Orlando</t>
        </is>
      </c>
      <c r="O166" t="inlineStr">
        <is>
          <t xml:space="preserve">FL</t>
        </is>
      </c>
      <c r="P166">
        <v>32839</v>
      </c>
      <c r="S166" t="inlineStr">
        <is>
          <t xml:space="preserve">POS-ORL-1833</t>
        </is>
      </c>
      <c r="T166" s="81">
        <v>0.4875</v>
      </c>
      <c r="U166" s="1">
        <v>46294</v>
      </c>
      <c r="V166" t="inlineStr">
        <is>
          <t xml:space="preserve">Kevin Andre Lawson</t>
        </is>
      </c>
      <c r="W166" t="inlineStr">
        <is>
          <t xml:space="preserve">Bank of America</t>
        </is>
      </c>
      <c r="X166" s="77" t="inlineStr">
        <is>
          <t xml:space="preserve">4721836590214</t>
        </is>
      </c>
      <c r="Y166" t="inlineStr">
        <is>
          <t xml:space="preserve">Aldi</t>
        </is>
      </c>
    </row>
    <row r="167">
      <c r="A167" t="inlineStr">
        <is>
          <t xml:space="preserve">Kevin Andre Lawson</t>
        </is>
      </c>
      <c r="B167" s="40">
        <v>4721836590214</v>
      </c>
      <c r="C167" t="inlineStr">
        <is>
          <t xml:space="preserve">P</t>
        </is>
      </c>
      <c r="D167" s="78">
        <f>D166+F167-G167</f>
      </c>
      <c r="E167" s="1">
        <v>46294</v>
      </c>
      <c r="F167" s="82">
        <v>275.0</v>
      </c>
      <c r="G167" s="82">
        <v>0</v>
      </c>
      <c r="H167" t="inlineStr">
        <is>
          <t xml:space="preserve">P2P</t>
        </is>
      </c>
      <c r="I167" t="inlineStr">
        <is>
          <t xml:space="preserve">C</t>
        </is>
      </c>
      <c r="J167" t="inlineStr">
        <is>
          <t xml:space="preserve">Untagged</t>
        </is>
      </c>
      <c r="K167" t="inlineStr">
        <is>
          <t xml:space="preserve">Zelle received</t>
        </is>
      </c>
      <c r="T167" s="81">
        <v>0.8034722222222223</v>
      </c>
      <c r="U167" s="1">
        <v>46294</v>
      </c>
      <c r="V167" t="inlineStr">
        <is>
          <t xml:space="preserve">Dominic Russo</t>
        </is>
      </c>
      <c r="W167" t="inlineStr">
        <is>
          <t xml:space="preserve">Capital One</t>
        </is>
      </c>
      <c r="X167" s="77" t="inlineStr">
        <is>
          <t xml:space="preserve">ZELLE-S-1132</t>
        </is>
      </c>
      <c r="Y167" t="inlineStr">
        <is>
          <t xml:space="preserve">Kevin Andre Lawson</t>
        </is>
      </c>
      <c r="Z167" t="inlineStr">
        <is>
          <t xml:space="preserve">Bank of America</t>
        </is>
      </c>
      <c r="AA167" s="77" t="inlineStr">
        <is>
          <t xml:space="preserve">4721836590214</t>
        </is>
      </c>
      <c r="AB167" t="inlineStr">
        <is>
          <t xml:space="preserve">Sent</t>
        </is>
      </c>
    </row>
    <row r="168">
      <c r="A168" t="inlineStr">
        <is>
          <t xml:space="preserve">Kevin Andre Lawson</t>
        </is>
      </c>
      <c r="B168" s="40">
        <v>4721836590214</v>
      </c>
      <c r="C168" t="inlineStr">
        <is>
          <t xml:space="preserve">P</t>
        </is>
      </c>
      <c r="D168" s="78">
        <f>D167+F168-G168</f>
      </c>
      <c r="E168" s="1">
        <v>46295</v>
      </c>
      <c r="F168" s="82">
        <v>0</v>
      </c>
      <c r="G168" s="82">
        <v>3150.0</v>
      </c>
      <c r="H168" t="inlineStr">
        <is>
          <t xml:space="preserve">Wire</t>
        </is>
      </c>
      <c r="I168" t="inlineStr">
        <is>
          <t xml:space="preserve">D</t>
        </is>
      </c>
      <c r="J168" t="inlineStr">
        <is>
          <t xml:space="preserve">Untagged</t>
        </is>
      </c>
      <c r="K168" t="inlineStr">
        <is>
          <t xml:space="preserve">International wire out - Panama</t>
        </is>
      </c>
      <c r="N168" t="inlineStr">
        <is>
          <t xml:space="preserve">Orlando</t>
        </is>
      </c>
      <c r="O168" t="inlineStr">
        <is>
          <t xml:space="preserve">FL</t>
        </is>
      </c>
      <c r="P168">
        <v>32839</v>
      </c>
      <c r="Q168" t="inlineStr">
        <is>
          <t xml:space="preserve">FL-ORL-03</t>
        </is>
      </c>
      <c r="R168" t="inlineStr">
        <is>
          <t xml:space="preserve">TELLER03</t>
        </is>
      </c>
      <c r="T168" s="81">
        <v>0.6506944444444445</v>
      </c>
      <c r="U168" s="1">
        <v>46295</v>
      </c>
      <c r="V168" t="inlineStr">
        <is>
          <t xml:space="preserve">Kevin Andre Lawson</t>
        </is>
      </c>
      <c r="W168" t="inlineStr">
        <is>
          <t xml:space="preserve">Bank of America</t>
        </is>
      </c>
      <c r="X168" s="77" t="inlineStr">
        <is>
          <t xml:space="preserve">4721836590214</t>
        </is>
      </c>
      <c r="Y168" t="inlineStr">
        <is>
          <t xml:space="preserve">Istmo Meridian Trading Corp.</t>
        </is>
      </c>
      <c r="Z168" t="inlineStr">
        <is>
          <t xml:space="preserve">Banco Atlantico de Panama, S.A.</t>
        </is>
      </c>
      <c r="AA168" s="77" t="inlineStr">
        <is>
          <t xml:space="preserve">PA-0417-2290-5531</t>
        </is>
      </c>
      <c r="AB168" t="inlineStr">
        <is>
          <t xml:space="preserve">Invoice settlement</t>
        </is>
      </c>
    </row>
    <row r="169">
      <c r="A169" t="inlineStr">
        <is>
          <t xml:space="preserve">Kevin Andre Lawson</t>
        </is>
      </c>
      <c r="B169" s="40">
        <v>4721836590214</v>
      </c>
      <c r="C169" t="inlineStr">
        <is>
          <t xml:space="preserve">P</t>
        </is>
      </c>
      <c r="D169" s="78">
        <f>D168+F169-G169</f>
      </c>
      <c r="E169" s="1">
        <v>46295</v>
      </c>
      <c r="F169" s="82">
        <v>0</v>
      </c>
      <c r="G169" s="82">
        <v>45.0</v>
      </c>
      <c r="H169" t="inlineStr">
        <is>
          <t xml:space="preserve">Fee</t>
        </is>
      </c>
      <c r="I169" t="inlineStr">
        <is>
          <t xml:space="preserve">D</t>
        </is>
      </c>
      <c r="J169" t="inlineStr">
        <is>
          <t xml:space="preserve">Untagged</t>
        </is>
      </c>
      <c r="K169" t="inlineStr">
        <is>
          <t xml:space="preserve">International wire transfer fee</t>
        </is>
      </c>
      <c r="U169" s="1">
        <v>46295</v>
      </c>
      <c r="V169" t="inlineStr">
        <is>
          <t xml:space="preserve">Kevin Andre Lawson</t>
        </is>
      </c>
      <c r="W169" t="inlineStr">
        <is>
          <t xml:space="preserve">Bank of America</t>
        </is>
      </c>
      <c r="X169" s="77" t="inlineStr">
        <is>
          <t xml:space="preserve">4721836590214</t>
        </is>
      </c>
      <c r="Y169" t="inlineStr">
        <is>
          <t xml:space="preserve">Bank of America</t>
        </is>
      </c>
      <c r="AA169" s="77" t="inlineStr">
        <is>
          <t xml:space="preserve">FEE-INTLWIRE</t>
        </is>
      </c>
    </row>
    <row r="171">
      <c r="F171" s="79">
        <f>SUBTOTAL(9,F2:F169)</f>
      </c>
      <c r="G171" s="79">
        <f>SUBTOTAL(9,G2:G169)</f>
      </c>
    </row>
  </sheetData>
  <autoFilter ref="A1:AB169" xr:uid="{5611D810-DAFA-4F31-B6DD-45D854AF5F85}"/>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2:A21"/>
  <sheetViews>
    <sheetView showGridLines="0" workbookViewId="0">
      <selection activeCell="F14" sqref="F14"/>
    </sheetView>
  </sheetViews>
  <sheetFormatPr defaultRowHeight="15" x14ac:dyDescent="0.25"/>
  <cols>
    <col min="1" max="4" width="14.5703125" customWidth="1"/>
    <col min="5" max="5" width="3.28515625" customWidth="1"/>
    <col min="6" max="9" width="14.5703125" customWidth="1"/>
  </cols>
  <sheetData>
    <row r="2" ht="18" customHeight="1" x14ac:dyDescent="0.25"/>
    <row r="3" ht="18" customHeight="1" x14ac:dyDescent="0.25"/>
    <row r="4" ht="18" customHeight="1" x14ac:dyDescent="0.25"/>
    <row r="5" ht="18" customHeight="1" x14ac:dyDescent="0.25"/>
    <row r="6" ht="18" customHeight="1" x14ac:dyDescent="0.25"/>
    <row r="7" ht="18" customHeight="1" x14ac:dyDescent="0.25"/>
    <row r="8" ht="18" customHeight="1" x14ac:dyDescent="0.25"/>
    <row r="9" ht="18" customHeight="1" x14ac:dyDescent="0.25"/>
    <row r="10" ht="18" customHeight="1" x14ac:dyDescent="0.25"/>
    <row r="13" ht="18" customHeight="1" x14ac:dyDescent="0.25"/>
    <row r="14" ht="18" customHeight="1" x14ac:dyDescent="0.25"/>
    <row r="15" ht="18" customHeight="1" x14ac:dyDescent="0.25"/>
    <row r="16" ht="18" customHeight="1" x14ac:dyDescent="0.25"/>
    <row r="17" ht="18" customHeight="1" x14ac:dyDescent="0.25"/>
    <row r="18" ht="18" customHeight="1" x14ac:dyDescent="0.25"/>
    <row r="19" ht="18" customHeight="1" x14ac:dyDescent="0.25"/>
    <row r="20" ht="18" customHeight="1" x14ac:dyDescent="0.25"/>
    <row r="21" ht="18" customHeight="1" x14ac:dyDescent="0.2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election activeCell="M31" sqref="M31"/>
    </sheetView>
  </sheetViews>
  <sheetFormatPr defaultRowHeight="15" x14ac:dyDescent="0.25"/>
  <sheetData>
    <row r="1" spans="1:1" x14ac:dyDescent="0.25">
      <c r="A1" t="s">
        <v>348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RowHeight="15" x14ac:dyDescent="0.25"/>
  <cols>
    <col min="1" max="1" width="254.5703125" customWidth="1"/>
  </cols>
  <sheetData>
    <row r="1" ht="409.5" customHeight="1" x14ac:dyDescent="0.25">
      <c r="A1" s="95" t="inlineStr">
        <is>
          <t xml:space="preserve">INVESTIGATION OUTCOME
Bank of America, N.A. (BANA) is filing a SAR on Kevin Andre Lawson to report incoming P2P payments from multiple counterparties with no stated purpose, followed by monthly international wire transfers to Istmo Meridian Trading Corp. in Panama with vague descriptions, between 04/04/2026 and 09/30/2026 totaling $44,035.00.
A review of the client's personal checking account (#4721836590214) was conducted following six alerted outgoing international wire transfers. The client, Kevin Andre Lawson, is listed as a Sales Associate employed by Walmart Inc. Between 04/03/2026 and 09/25/2026, the account received 26 weekly payroll deposits from Walmart Inc. ranging from $380.75 to $399.53 and totaling $10,077.55. The account also reflected rent, utility, mobile phone, auto insurance, grocery, and fuel payments. The client's savings account (#4721836590873) had no alerted events and received two $100.00 transfers from the checking account.
Between 04/04/2026 and 09/29/2026, the account received 64 Zelle payments totaling $22,085.00 from 32 counterparties at 9 banks. Individual payments ranged from $200.00 to $500.00. 27 of the 64 payments had no transaction note; the remaining notes were limited to “For you”, “Help”, “Money”, “Payment”, “Sent”, and “Thanks”. Examples include $480.00 from Alyssa Grant at Citibank on 04/04/2026, $375.00 from Nicole Ferguson at Regions Bank on 04/06/2026, $375.00 from Andre Coleman at Truist on 04/07/2026, $300.00 from Hannah Pierce at Capital One on 04/12/2026, $225.00 from Sofia Delgado at TD Bank on 04/18/2026, $320.00 from Rachel Kim at Regions Bank on 04/19/2026.
On the last business day of each month, the client sent an international wire transfer from the Orlando, FL branch (FL-ORL-03) to Istmo Meridian Trading Corp., account PA-0417-2290-5531 at Banco Atlantico de Panama, S.A., Panama City, Panama. Six wires totaling $21,950.00 were sent, and each wire amount was within $50.00 of the P2P funds received during the same month:
$3,750.00 on 04/30/2026 – description “Services” (P2P received in April: $3,755.00 from 11 payments)
$3,700.00 on 05/29/2026 – description “Invoice” (P2P received in May: $3,705.00 from 11 payments)
$3,350.00 on 06/30/2026 – description “Payment per agreement” (P2P received in June: $3,395.00 from 11 payments)
$3,900.00 on 07/31/2026 – description “Consulting” (P2P received in July: $3,925.00 from 10 payments)
$4,100.00 on 08/31/2026 – description “Services rendered” (P2P received in August: $4,135.00 from 11 payments)
$3,150.00 on 09/30/2026 – description “Invoice settlement” (P2P received in September: $3,170.00 from 10 payments)
Each wire was charged a $45.00 international wire fee. The incoming P2P total of $22,085.00 and the outgoing wire total of $21,950.00 each exceeded the total payroll received during the same period ($10,077.55). No documentation was available in the case file identifying the purpose of the incoming P2P payments, the relationship between the client and the P2P counterparties, or the purpose of the payments to Istmo Meridian Trading Corp.
The activity is not consistent with the client's KYC profile of a Sales Associate receiving weekly payroll of $380.75 to $399.53. The source and purpose of the P2P funds and the purpose of the wire transfers to Panama could not be determined. Although payroll deposits and ordinary living expenses were identified, they do not explain the P2P and wire activity. Therefore, this activity is deemed suspicious, and a Suspicious Activity Report (SAR) is being filed.
Customer Kevin Andre Lawson (DOB 03/14/1991) is located at 2715 Palm Haven Drive, Apt 4B, Orlando, FL 32839. Internal records list the occupation as Sales Associate and the employer as Walmart Inc.</t>
        </is>
      </c>
    </row>
    <row r="2" spans="1:1" x14ac:dyDescent="0.25">
      <c r="A2" s="29"/>
    </row>
    <row r="3" spans="1:1" x14ac:dyDescent="0.25">
      <c r="A3" s="59"/>
    </row>
    <row r="4" spans="1:1" x14ac:dyDescent="0.25">
      <c r="A4" s="29"/>
    </row>
    <row r="5" spans="1:1" x14ac:dyDescent="0.25">
      <c r="A5" s="59"/>
    </row>
    <row r="6" spans="1:1" x14ac:dyDescent="0.25">
      <c r="A6" s="29"/>
    </row>
    <row r="7" spans="1:1" x14ac:dyDescent="0.25">
      <c r="A7" s="59"/>
    </row>
    <row r="8" spans="1:1" x14ac:dyDescent="0.25">
      <c r="A8" s="29"/>
    </row>
    <row r="9" spans="1:1" x14ac:dyDescent="0.25">
      <c r="A9"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7"/>
  <sheetViews>
    <sheetView showGridLines="0" zoomScale="85" zoomScaleNormal="85" workbookViewId="0">
      <selection activeCell="F17" sqref="F17"/>
    </sheetView>
  </sheetViews>
  <sheetFormatPr defaultColWidth="0" defaultRowHeight="0" customHeight="1" zeroHeight="1" x14ac:dyDescent="0.25"/>
  <cols>
    <col min="1" max="1" width="3.85546875" customWidth="1"/>
    <col min="2" max="2" width="8.7109375" customWidth="1"/>
    <col min="3" max="3" width="36.140625" customWidth="1"/>
    <col min="4" max="4" width="9" customWidth="1"/>
    <col min="5" max="5" width="38" customWidth="1"/>
    <col min="6" max="6" width="10.7109375" customWidth="1"/>
    <col min="7" max="7" width="9.140625" customWidth="1"/>
    <col min="8" max="8" width="11.5703125" bestFit="1" customWidth="1"/>
    <col min="9" max="9" width="9.140625" customWidth="1"/>
    <col min="10" max="10" width="10.85546875" bestFit="1" customWidth="1"/>
    <col min="11" max="14" width="9.140625" customWidth="1"/>
    <col min="15" max="15" width="5" customWidth="1"/>
    <col min="16" max="16384" width="9.140625" hidden="1"/>
  </cols>
  <sheetData>
    <row r="1" spans="2:14" ht="15" customHeight="1" x14ac:dyDescent="0.25">
      <c r="B1" s="129" t="s">
        <v>350</v>
      </c>
      <c r="C1" s="130"/>
      <c r="D1" s="130"/>
      <c r="E1" s="130"/>
      <c r="F1" s="130"/>
      <c r="G1" s="130"/>
      <c r="H1" s="130"/>
      <c r="I1" s="130"/>
      <c r="J1" s="130"/>
      <c r="K1" s="130"/>
      <c r="L1" s="130"/>
      <c r="M1" s="130"/>
      <c r="N1" s="131"/>
    </row>
    <row r="2" spans="2:14" ht="15" customHeight="1" x14ac:dyDescent="0.25">
      <c r="B2" s="132"/>
      <c r="C2" s="133"/>
      <c r="D2" s="133"/>
      <c r="E2" s="133"/>
      <c r="F2" s="133"/>
      <c r="G2" s="133"/>
      <c r="H2" s="133"/>
      <c r="I2" s="133"/>
      <c r="J2" s="133"/>
      <c r="K2" s="133"/>
      <c r="L2" s="133"/>
      <c r="M2" s="133"/>
      <c r="N2" s="134"/>
    </row>
    <row r="3" spans="2:14" ht="21" customHeight="1" x14ac:dyDescent="0.25">
      <c r="B3" s="135"/>
      <c r="C3" s="136"/>
      <c r="D3" s="136"/>
      <c r="E3" s="136"/>
      <c r="F3" s="136"/>
      <c r="G3" s="136"/>
      <c r="H3" s="136"/>
      <c r="I3" s="136"/>
      <c r="J3" s="136"/>
      <c r="K3" s="136"/>
      <c r="L3" s="136"/>
      <c r="M3" s="136"/>
      <c r="N3" s="137"/>
    </row>
    <row r="4" spans="2:14" ht="21" customHeight="1" x14ac:dyDescent="0.25">
      <c r="B4" s="2"/>
      <c r="C4" s="2"/>
      <c r="D4" s="2"/>
      <c r="E4" s="2"/>
      <c r="F4" s="2"/>
      <c r="G4" s="2"/>
      <c r="H4" s="2"/>
      <c r="I4" s="2"/>
      <c r="J4" s="2"/>
      <c r="K4" s="2"/>
      <c r="L4" s="2"/>
      <c r="M4" s="2"/>
      <c r="N4" s="2"/>
    </row>
    <row r="5" spans="2:14" ht="21" customHeight="1" x14ac:dyDescent="0.25">
      <c r="B5" s="3" t="s">
        <v>351</v>
      </c>
      <c r="C5" s="2"/>
      <c r="D5" s="2"/>
      <c r="E5" s="4" t="s">
        <v>352</v>
      </c>
      <c r="F5" s="2"/>
      <c r="G5" s="2"/>
      <c r="H5" s="2"/>
      <c r="I5" s="2"/>
      <c r="J5" s="2"/>
      <c r="K5" s="2"/>
      <c r="L5" s="2"/>
      <c r="M5" s="2"/>
      <c r="N5" s="2"/>
    </row>
    <row r="6" ht="21" customHeight="1" x14ac:dyDescent="0.25">
      <c r="B6" s="138" t="inlineStr">
        <is>
          <t xml:space="preserve">Large Wire Out</t>
        </is>
      </c>
      <c r="C6" s="139"/>
      <c r="D6" s="2"/>
      <c r="E6" s="138" t="inlineStr">
        <is>
          <t xml:space="preserve">Bank of America, NA</t>
        </is>
      </c>
      <c r="F6" s="139"/>
      <c r="G6" s="2"/>
      <c r="H6" s="2"/>
      <c r="I6" s="2"/>
      <c r="J6" s="2"/>
      <c r="K6" s="2"/>
      <c r="L6" s="2"/>
      <c r="M6" s="2"/>
      <c r="N6" s="2"/>
    </row>
    <row r="7" spans="2:14" ht="21" customHeight="1" x14ac:dyDescent="0.25">
      <c r="B7" s="140"/>
      <c r="C7" s="141"/>
      <c r="D7" s="2"/>
      <c r="E7" s="142"/>
      <c r="F7" s="143"/>
      <c r="G7" s="2"/>
      <c r="H7" s="2"/>
      <c r="I7" s="2"/>
      <c r="J7" s="2"/>
      <c r="K7" s="2"/>
      <c r="L7" s="2"/>
      <c r="M7" s="2"/>
      <c r="N7" s="2"/>
    </row>
    <row r="8" spans="2:14" ht="21" customHeight="1" x14ac:dyDescent="0.25">
      <c r="B8" s="127"/>
      <c r="C8" s="128"/>
      <c r="D8" s="2"/>
      <c r="E8" s="2"/>
      <c r="F8" s="2"/>
      <c r="G8" s="2"/>
      <c r="H8" s="2"/>
      <c r="I8" s="2"/>
      <c r="J8" s="2"/>
      <c r="K8" s="2"/>
      <c r="L8" s="2"/>
      <c r="M8" s="2"/>
      <c r="N8" s="2"/>
    </row>
    <row r="9" spans="2:14" ht="21" customHeight="1" x14ac:dyDescent="0.25">
      <c r="B9" s="3" t="s">
        <v>354</v>
      </c>
      <c r="C9" s="2"/>
      <c r="D9" s="2"/>
      <c r="E9" s="5" t="s">
        <v>355</v>
      </c>
      <c r="F9" s="2"/>
      <c r="G9" s="2"/>
      <c r="H9" s="2"/>
      <c r="I9" s="2"/>
      <c r="J9" s="2"/>
      <c r="K9" s="2"/>
      <c r="L9" s="2"/>
      <c r="M9" s="2"/>
      <c r="N9" s="2"/>
    </row>
    <row r="10" ht="21" customHeight="1" x14ac:dyDescent="0.25">
      <c r="B10" s="146" t="inlineStr">
        <is>
          <t xml:space="preserve">Kevin Andre Lawson</t>
        </is>
      </c>
      <c r="C10" s="147"/>
      <c r="D10" s="2"/>
      <c r="E10" s="148">
        <v>4721836590214</v>
      </c>
      <c r="F10" s="149"/>
      <c r="G10" s="2"/>
      <c r="H10" s="2"/>
      <c r="I10" s="2"/>
      <c r="J10" s="2"/>
      <c r="K10" s="2"/>
      <c r="L10" s="2"/>
      <c r="M10" s="2"/>
      <c r="N10" s="2"/>
    </row>
    <row r="11" spans="2:14" ht="21" customHeight="1" x14ac:dyDescent="0.25">
      <c r="B11" s="150"/>
      <c r="C11" s="151"/>
      <c r="D11" s="2"/>
      <c r="E11" s="152"/>
      <c r="F11" s="153"/>
      <c r="G11" s="2"/>
      <c r="H11" s="2"/>
      <c r="I11" s="2"/>
      <c r="J11" s="2"/>
      <c r="K11" s="2"/>
      <c r="L11" s="2"/>
      <c r="M11" s="2"/>
      <c r="N11" s="2"/>
    </row>
    <row r="12" spans="2:14" ht="21" customHeight="1" x14ac:dyDescent="0.25">
      <c r="B12" s="154"/>
      <c r="C12" s="155"/>
      <c r="D12" s="2"/>
      <c r="E12" s="142"/>
      <c r="F12" s="143"/>
      <c r="G12" s="2"/>
      <c r="H12" s="2"/>
      <c r="I12" s="2"/>
      <c r="J12" s="2"/>
      <c r="K12" s="2"/>
      <c r="L12" s="2"/>
      <c r="M12" s="2"/>
      <c r="N12" s="2"/>
    </row>
    <row r="13" spans="2:14" ht="21" customHeight="1" x14ac:dyDescent="0.25">
      <c r="B13" s="2"/>
      <c r="C13" s="2"/>
      <c r="D13" s="2"/>
      <c r="E13" s="2"/>
      <c r="F13" s="2"/>
      <c r="G13" s="2"/>
      <c r="H13" s="2"/>
      <c r="I13" s="2"/>
      <c r="J13" s="2"/>
      <c r="K13" s="2"/>
      <c r="L13" s="2"/>
      <c r="M13" s="2"/>
      <c r="N13" s="2"/>
    </row>
    <row r="14" spans="2:14" ht="21" customHeight="1" x14ac:dyDescent="0.25">
      <c r="B14" s="5" t="s">
        <v>357</v>
      </c>
      <c r="C14" s="2"/>
      <c r="D14" s="2"/>
      <c r="E14" s="2"/>
      <c r="F14" s="2"/>
      <c r="G14" s="2"/>
      <c r="H14" s="2"/>
      <c r="I14" s="2"/>
      <c r="J14" s="2"/>
      <c r="K14" s="2"/>
      <c r="L14" s="2"/>
      <c r="M14" s="2"/>
      <c r="N14" s="2"/>
    </row>
    <row r="15" spans="2:14" ht="18.75" x14ac:dyDescent="0.25">
      <c r="B15" s="6"/>
      <c r="C15" s="7" t="s">
        <v>358</v>
      </c>
      <c r="D15" s="7" t="s">
        <v>359</v>
      </c>
      <c r="E15" s="7" t="s">
        <v>94</v>
      </c>
      <c r="F15" s="7"/>
      <c r="G15" s="8"/>
      <c r="H15" s="8"/>
      <c r="I15" s="8"/>
      <c r="J15" s="8"/>
      <c r="K15" s="8"/>
      <c r="L15" s="8"/>
      <c r="M15" s="8"/>
      <c r="N15" s="8"/>
    </row>
    <row r="16" ht="21" customHeight="1" x14ac:dyDescent="0.25">
      <c r="B16" s="5"/>
      <c r="C16" t="inlineStr">
        <is>
          <t xml:space="preserve">FL-ORL-03</t>
        </is>
      </c>
      <c r="D16" t="inlineStr">
        <is>
          <t xml:space="preserve">Orlando</t>
        </is>
      </c>
      <c r="E16" t="inlineStr">
        <is>
          <t xml:space="preserve">FL</t>
        </is>
      </c>
      <c r="F16" s="2"/>
      <c r="G16" s="2"/>
      <c r="H16" s="2"/>
      <c r="I16" s="2"/>
      <c r="J16" s="2"/>
      <c r="K16" s="2"/>
      <c r="L16" s="2"/>
      <c r="M16" s="2"/>
      <c r="N16" s="2"/>
    </row>
    <row r="17" ht="21" customHeight="1" x14ac:dyDescent="0.25">
      <c r="B17" s="2"/>
      <c r="C17"/>
      <c r="D17"/>
      <c r="E17"/>
      <c r="F17" s="2"/>
      <c r="G17" s="2"/>
      <c r="H17" s="2"/>
      <c r="I17" s="2"/>
      <c r="J17" s="2"/>
      <c r="K17" s="2"/>
      <c r="L17" s="2"/>
      <c r="M17" s="2"/>
      <c r="N17" s="2"/>
    </row>
    <row r="18" ht="21" customHeight="1" x14ac:dyDescent="0.25">
      <c r="B18" s="2"/>
      <c r="C18"/>
      <c r="D18"/>
      <c r="E18"/>
      <c r="F18" s="2"/>
      <c r="G18" s="2"/>
      <c r="H18" s="2"/>
      <c r="I18" s="2"/>
      <c r="J18" s="2"/>
      <c r="K18" s="2"/>
      <c r="L18" s="2"/>
      <c r="M18" s="2"/>
      <c r="N18" s="2"/>
    </row>
    <row r="19" ht="21" customHeight="1" x14ac:dyDescent="0.25">
      <c r="B19" s="2"/>
      <c r="C19"/>
      <c r="D19"/>
      <c r="E19"/>
      <c r="F19" s="2"/>
      <c r="G19" s="2"/>
      <c r="H19" s="2"/>
      <c r="I19" s="2"/>
      <c r="J19" s="2"/>
      <c r="K19" s="2"/>
      <c r="L19" s="2"/>
      <c r="M19" s="2"/>
      <c r="N19" s="2"/>
    </row>
    <row r="20" ht="15" x14ac:dyDescent="0.25">
      <c r="C20"/>
      <c r="D20"/>
      <c r="E20"/>
    </row>
    <row r="21" ht="15" x14ac:dyDescent="0.25">
      <c r="C21"/>
      <c r="D21"/>
      <c r="E21"/>
    </row>
    <row r="22" ht="15" x14ac:dyDescent="0.25">
      <c r="C22"/>
      <c r="D22"/>
      <c r="E22"/>
    </row>
    <row r="23" spans="2:14" ht="15" x14ac:dyDescent="0.25"/>
    <row r="24" spans="2:14" ht="15" x14ac:dyDescent="0.25"/>
    <row r="25" spans="2:14" ht="15" x14ac:dyDescent="0.25"/>
    <row r="26" spans="2:14" ht="15" x14ac:dyDescent="0.25">
      <c r="B26" s="9"/>
      <c r="C26" s="10"/>
      <c r="D26" s="10"/>
      <c r="E26" s="11"/>
      <c r="F26" s="11"/>
      <c r="G26" s="11"/>
      <c r="H26" s="11"/>
      <c r="I26" s="11"/>
      <c r="J26" s="11"/>
      <c r="K26" s="11"/>
      <c r="L26" s="11"/>
      <c r="M26" s="11"/>
      <c r="N26" s="12"/>
    </row>
    <row r="27" spans="2:14" ht="15" x14ac:dyDescent="0.25">
      <c r="B27" s="13"/>
      <c r="C27" s="14" t="s">
        <v>361</v>
      </c>
      <c r="D27" s="15"/>
      <c r="N27" s="16"/>
    </row>
    <row r="28" spans="2:14" ht="15" x14ac:dyDescent="0.25">
      <c r="B28" s="13"/>
      <c r="C28" s="15"/>
      <c r="D28" s="15"/>
      <c r="N28" s="16"/>
    </row>
    <row r="29" ht="15" x14ac:dyDescent="0.25">
      <c r="B29" s="13"/>
      <c r="C29" s="17" t="s">
        <v>362</v>
      </c>
      <c r="D29" s="17"/>
      <c r="E29" s="18">
        <v>44035</v>
      </c>
      <c r="F29" s="17"/>
      <c r="G29" s="17"/>
      <c r="H29" s="17"/>
      <c r="I29" s="17"/>
      <c r="J29" s="17"/>
      <c r="K29" s="17"/>
      <c r="L29" s="17"/>
      <c r="M29" s="17"/>
      <c r="N29" s="19"/>
    </row>
    <row r="30" ht="15.75" customHeight="1" thickBot="1" x14ac:dyDescent="0.3">
      <c r="B30" s="13"/>
      <c r="C30" s="20" t="s">
        <v>363</v>
      </c>
      <c r="D30" s="17"/>
      <c r="E30" s="17"/>
      <c r="F30" s="17"/>
      <c r="G30" s="21" t="s">
        <v>364</v>
      </c>
      <c r="H30" s="1">
        <v>46116</v>
      </c>
      <c r="I30" s="21" t="s">
        <v>365</v>
      </c>
      <c r="J30" s="1">
        <v>46295</v>
      </c>
      <c r="M30" s="17"/>
      <c r="N30" s="19"/>
    </row>
    <row r="31" spans="2:14" ht="15.75" customHeight="1" thickBot="1" x14ac:dyDescent="0.3">
      <c r="B31" s="13"/>
      <c r="C31" s="20" t="s">
        <v>366</v>
      </c>
      <c r="D31" s="20"/>
      <c r="E31" s="20"/>
      <c r="F31" s="58"/>
      <c r="G31" s="20"/>
      <c r="H31" s="20"/>
      <c r="I31" s="20"/>
      <c r="J31" s="17"/>
      <c r="K31" s="17"/>
      <c r="L31" s="17"/>
      <c r="M31" s="17"/>
      <c r="N31" s="19"/>
    </row>
    <row r="32" spans="2:14" ht="15" x14ac:dyDescent="0.25">
      <c r="B32" s="13"/>
      <c r="C32" s="22"/>
      <c r="D32" s="22"/>
      <c r="E32" s="22"/>
      <c r="F32" s="22"/>
      <c r="G32" s="22"/>
      <c r="H32" s="22"/>
      <c r="I32" s="22"/>
      <c r="J32" s="22"/>
      <c r="K32" s="22"/>
      <c r="L32" s="22"/>
      <c r="M32" s="22"/>
      <c r="N32" s="23"/>
    </row>
    <row r="33" spans="2:14" ht="15.75" thickBot="1" x14ac:dyDescent="0.3">
      <c r="B33" s="13"/>
      <c r="C33" s="24"/>
      <c r="D33" s="24"/>
      <c r="E33" s="24"/>
      <c r="F33" s="24"/>
      <c r="G33" s="24"/>
      <c r="H33" s="24"/>
      <c r="I33" s="24"/>
      <c r="J33" s="24"/>
      <c r="K33" s="24"/>
      <c r="L33" s="24"/>
      <c r="M33" s="24"/>
      <c r="N33" s="16"/>
    </row>
    <row r="34" spans="2:14" ht="15" x14ac:dyDescent="0.25">
      <c r="B34" s="13"/>
      <c r="C34" s="14" t="s">
        <v>367</v>
      </c>
      <c r="D34" s="15"/>
      <c r="N34" s="16"/>
    </row>
    <row r="35" spans="2:14" ht="15" x14ac:dyDescent="0.25">
      <c r="B35" s="13"/>
      <c r="N35" s="16"/>
    </row>
    <row r="36" spans="2:14" ht="15" x14ac:dyDescent="0.25">
      <c r="B36" s="13"/>
      <c r="C36" s="15" t="s">
        <v>368</v>
      </c>
      <c r="E36" s="15"/>
      <c r="H36" s="15" t="s">
        <v>369</v>
      </c>
      <c r="L36" s="15"/>
      <c r="N36" s="16"/>
    </row>
    <row r="37" spans="2:14" ht="15.75" thickBot="1" x14ac:dyDescent="0.3">
      <c r="B37" s="13"/>
      <c r="C37" s="15" t="s">
        <v>370</v>
      </c>
      <c r="E37" s="15"/>
      <c r="H37" s="15" t="s">
        <v>371</v>
      </c>
      <c r="L37" s="156"/>
      <c r="M37" s="156"/>
      <c r="N37" s="16"/>
    </row>
    <row r="38" spans="2:14" ht="15.75" thickBot="1" x14ac:dyDescent="0.3">
      <c r="B38" s="13"/>
      <c r="C38" s="15" t="s">
        <v>372</v>
      </c>
      <c r="E38" s="15"/>
      <c r="H38" s="15" t="s">
        <v>373</v>
      </c>
      <c r="I38" s="157"/>
      <c r="J38" s="158"/>
      <c r="N38" s="16"/>
    </row>
    <row r="39" spans="2:14" ht="15.75" thickBot="1" x14ac:dyDescent="0.3">
      <c r="B39" s="13"/>
      <c r="C39" s="24"/>
      <c r="N39" s="16"/>
    </row>
    <row r="40" spans="2:14" ht="15" x14ac:dyDescent="0.25">
      <c r="B40" s="26"/>
      <c r="C40" s="14" t="s">
        <v>374</v>
      </c>
      <c r="D40" s="27"/>
      <c r="E40" s="27"/>
      <c r="F40" s="27"/>
      <c r="G40" s="27"/>
      <c r="H40" s="27"/>
      <c r="I40" s="27"/>
      <c r="J40" s="27"/>
      <c r="K40" s="27"/>
      <c r="L40" s="27"/>
      <c r="M40" s="27"/>
      <c r="N40" s="16"/>
    </row>
    <row r="41" spans="2:14" ht="15" x14ac:dyDescent="0.25">
      <c r="B41" s="13"/>
      <c r="N41" s="16"/>
    </row>
    <row r="42" spans="2:14" ht="15" customHeight="1" x14ac:dyDescent="0.25">
      <c r="B42" s="13"/>
      <c r="C42" s="15" t="s">
        <v>375</v>
      </c>
      <c r="F42" s="15" t="s">
        <v>376</v>
      </c>
      <c r="H42" s="15"/>
      <c r="N42" s="16"/>
    </row>
    <row r="43" spans="2:14" ht="15" x14ac:dyDescent="0.25">
      <c r="B43" s="13"/>
      <c r="C43" s="15" t="s">
        <v>377</v>
      </c>
      <c r="F43" s="15" t="s">
        <v>378</v>
      </c>
      <c r="H43" s="15"/>
      <c r="N43" s="16"/>
    </row>
    <row r="44" spans="2:14" ht="15" x14ac:dyDescent="0.25">
      <c r="B44" s="13"/>
      <c r="C44" s="15" t="s">
        <v>379</v>
      </c>
      <c r="F44" s="15" t="s">
        <v>380</v>
      </c>
      <c r="H44" s="15"/>
      <c r="N44" s="16"/>
    </row>
    <row r="45" spans="2:14" ht="15" x14ac:dyDescent="0.25">
      <c r="B45" s="13"/>
      <c r="C45" s="15" t="s">
        <v>381</v>
      </c>
      <c r="F45" s="15" t="s">
        <v>382</v>
      </c>
      <c r="H45" s="15"/>
      <c r="I45" s="159"/>
      <c r="J45" s="159"/>
      <c r="N45" s="16"/>
    </row>
    <row r="46" spans="2:14" ht="15" x14ac:dyDescent="0.25">
      <c r="B46" s="13"/>
      <c r="C46" s="15" t="s">
        <v>383</v>
      </c>
      <c r="F46" s="15" t="s">
        <v>384</v>
      </c>
      <c r="G46" s="15"/>
      <c r="N46" s="16"/>
    </row>
    <row r="47" spans="2:14" ht="15.75" thickBot="1" x14ac:dyDescent="0.3">
      <c r="B47" s="13"/>
      <c r="C47" s="15" t="s">
        <v>385</v>
      </c>
      <c r="F47" s="15" t="s">
        <v>386</v>
      </c>
      <c r="G47" s="15"/>
      <c r="N47" s="16"/>
    </row>
    <row r="48" spans="2:14" ht="15.75" thickBot="1" x14ac:dyDescent="0.3">
      <c r="B48" s="13"/>
      <c r="C48" s="15" t="s">
        <v>387</v>
      </c>
      <c r="D48" s="15"/>
      <c r="E48" s="15"/>
      <c r="F48" s="15" t="s">
        <v>373</v>
      </c>
      <c r="G48" s="160"/>
      <c r="H48" s="161"/>
      <c r="N48" s="16"/>
    </row>
    <row r="49" spans="2:14" ht="15.75" thickBot="1" x14ac:dyDescent="0.3">
      <c r="B49" s="13"/>
      <c r="C49" s="14"/>
      <c r="D49" s="15"/>
      <c r="E49" s="15"/>
      <c r="F49" s="15"/>
      <c r="G49" s="25"/>
      <c r="H49" s="25"/>
      <c r="N49" s="16"/>
    </row>
    <row r="50" spans="2:14" ht="15" x14ac:dyDescent="0.25">
      <c r="B50" s="26"/>
      <c r="C50" s="28" t="s">
        <v>388</v>
      </c>
      <c r="D50" s="27"/>
      <c r="E50" s="27"/>
      <c r="F50" s="27"/>
      <c r="G50" s="27"/>
      <c r="H50" s="27"/>
      <c r="I50" s="27"/>
      <c r="J50" s="27"/>
      <c r="K50" s="27"/>
      <c r="L50" s="27"/>
      <c r="M50" s="27"/>
      <c r="N50" s="16"/>
    </row>
    <row r="51" spans="2:14" ht="15" x14ac:dyDescent="0.25">
      <c r="B51" s="13"/>
      <c r="N51" s="16"/>
    </row>
    <row r="52" spans="2:14" ht="15" x14ac:dyDescent="0.25">
      <c r="B52" s="13"/>
      <c r="C52" s="15" t="s">
        <v>389</v>
      </c>
      <c r="E52" s="15" t="s">
        <v>390</v>
      </c>
      <c r="H52" s="15" t="s">
        <v>391</v>
      </c>
      <c r="N52" s="16"/>
    </row>
    <row r="53" spans="2:14" ht="15" x14ac:dyDescent="0.25">
      <c r="B53" s="13"/>
      <c r="C53" s="15" t="s">
        <v>392</v>
      </c>
      <c r="E53" s="15" t="s">
        <v>393</v>
      </c>
      <c r="H53" s="15" t="s">
        <v>394</v>
      </c>
      <c r="N53" s="16"/>
    </row>
    <row r="54" spans="2:14" ht="15.75" thickBot="1" x14ac:dyDescent="0.3">
      <c r="B54" s="13"/>
      <c r="C54" s="15" t="s">
        <v>395</v>
      </c>
      <c r="E54" s="15" t="s">
        <v>396</v>
      </c>
      <c r="H54" s="15" t="s">
        <v>397</v>
      </c>
      <c r="N54" s="16"/>
    </row>
    <row r="55" spans="2:14" ht="15.75" thickBot="1" x14ac:dyDescent="0.3">
      <c r="B55" s="13"/>
      <c r="C55" s="15" t="s">
        <v>398</v>
      </c>
      <c r="E55" s="15" t="s">
        <v>399</v>
      </c>
      <c r="H55" s="15" t="s">
        <v>400</v>
      </c>
      <c r="I55" s="144"/>
      <c r="J55" s="145"/>
      <c r="N55" s="16"/>
    </row>
    <row r="56" spans="2:14" ht="15" x14ac:dyDescent="0.25">
      <c r="B56" s="13"/>
      <c r="C56" s="15" t="s">
        <v>401</v>
      </c>
      <c r="E56" s="15" t="s">
        <v>402</v>
      </c>
      <c r="G56" s="15"/>
      <c r="N56" s="16"/>
    </row>
    <row r="57" spans="2:14" ht="15" x14ac:dyDescent="0.25">
      <c r="B57" s="13"/>
      <c r="C57" s="15" t="s">
        <v>403</v>
      </c>
      <c r="E57" s="15" t="s">
        <v>404</v>
      </c>
      <c r="G57" s="15"/>
      <c r="N57" s="16"/>
    </row>
    <row r="58" spans="2:14" ht="15" x14ac:dyDescent="0.25">
      <c r="B58" s="13"/>
      <c r="C58" s="15" t="s">
        <v>405</v>
      </c>
      <c r="D58" s="15"/>
      <c r="E58" s="15"/>
      <c r="G58" s="15"/>
      <c r="N58" s="16"/>
    </row>
    <row r="59" spans="2:14" ht="15" x14ac:dyDescent="0.25">
      <c r="B59" s="13"/>
      <c r="C59" s="15" t="s">
        <v>406</v>
      </c>
      <c r="N59" s="16"/>
    </row>
    <row r="60" spans="2:14" ht="15" x14ac:dyDescent="0.25">
      <c r="B60" s="13"/>
      <c r="C60" s="15" t="s">
        <v>407</v>
      </c>
      <c r="N60" s="16"/>
    </row>
    <row r="61" spans="2:14" ht="15" x14ac:dyDescent="0.25">
      <c r="B61" s="13"/>
      <c r="C61" s="15" t="s">
        <v>408</v>
      </c>
      <c r="D61" s="29"/>
      <c r="N61" s="16"/>
    </row>
    <row r="62" spans="2:14" ht="15.75" thickBot="1" x14ac:dyDescent="0.3">
      <c r="B62" s="13"/>
      <c r="C62" s="24"/>
      <c r="D62" s="24"/>
      <c r="E62" s="24"/>
      <c r="F62" s="24"/>
      <c r="G62" s="24"/>
      <c r="H62" s="24"/>
      <c r="I62" s="24"/>
      <c r="J62" s="24"/>
      <c r="K62" s="24"/>
      <c r="L62" s="24"/>
      <c r="M62" s="24"/>
      <c r="N62" s="16"/>
    </row>
    <row r="63" spans="2:14" ht="15" x14ac:dyDescent="0.25">
      <c r="B63" s="13"/>
      <c r="C63" s="14" t="s">
        <v>409</v>
      </c>
      <c r="D63" s="30"/>
      <c r="N63" s="16"/>
    </row>
    <row r="64" spans="2:14" ht="15" x14ac:dyDescent="0.25">
      <c r="B64" s="13"/>
      <c r="C64" s="31"/>
      <c r="D64" s="30"/>
      <c r="N64" s="16"/>
    </row>
    <row r="65" spans="2:14" ht="15" x14ac:dyDescent="0.25">
      <c r="B65" s="13"/>
      <c r="C65" s="15" t="s">
        <v>410</v>
      </c>
      <c r="E65" s="15" t="s">
        <v>411</v>
      </c>
      <c r="H65" s="15" t="s">
        <v>412</v>
      </c>
      <c r="N65" s="16"/>
    </row>
    <row r="66" spans="2:14" ht="15" x14ac:dyDescent="0.25">
      <c r="B66" s="13"/>
      <c r="C66" s="15" t="s">
        <v>413</v>
      </c>
      <c r="E66" s="15" t="s">
        <v>414</v>
      </c>
      <c r="H66" s="15" t="s">
        <v>415</v>
      </c>
      <c r="N66" s="16"/>
    </row>
    <row r="67" spans="2:14" ht="15" x14ac:dyDescent="0.25">
      <c r="B67" s="13"/>
      <c r="C67" s="15" t="s">
        <v>416</v>
      </c>
      <c r="E67" s="15" t="s">
        <v>417</v>
      </c>
      <c r="H67" s="15" t="s">
        <v>418</v>
      </c>
      <c r="N67" s="16"/>
    </row>
    <row r="68" spans="2:14" ht="15" x14ac:dyDescent="0.25">
      <c r="B68" s="13"/>
      <c r="C68" s="15" t="s">
        <v>419</v>
      </c>
      <c r="E68" s="15" t="s">
        <v>420</v>
      </c>
      <c r="H68" s="15" t="s">
        <v>421</v>
      </c>
      <c r="N68" s="16"/>
    </row>
    <row r="69" spans="2:14" ht="15.75" thickBot="1" x14ac:dyDescent="0.3">
      <c r="B69" s="13"/>
      <c r="C69" s="15" t="s">
        <v>422</v>
      </c>
      <c r="E69" s="15" t="s">
        <v>423</v>
      </c>
      <c r="H69" s="15" t="s">
        <v>424</v>
      </c>
      <c r="N69" s="16"/>
    </row>
    <row r="70" spans="2:14" ht="15.75" thickBot="1" x14ac:dyDescent="0.3">
      <c r="B70" s="13"/>
      <c r="C70" s="15" t="s">
        <v>425</v>
      </c>
      <c r="E70" s="15" t="s">
        <v>426</v>
      </c>
      <c r="H70" s="144"/>
      <c r="I70" s="145"/>
      <c r="N70" s="16"/>
    </row>
    <row r="71" spans="2:14" ht="15" x14ac:dyDescent="0.25">
      <c r="B71" s="13"/>
      <c r="C71" s="15" t="s">
        <v>427</v>
      </c>
      <c r="E71" s="15" t="s">
        <v>428</v>
      </c>
      <c r="N71" s="16"/>
    </row>
    <row r="72" spans="2:14" ht="15" x14ac:dyDescent="0.25">
      <c r="B72" s="13"/>
      <c r="C72" s="15" t="s">
        <v>429</v>
      </c>
      <c r="E72" s="15" t="s">
        <v>430</v>
      </c>
      <c r="N72" s="16"/>
    </row>
    <row r="73" spans="2:14" ht="15" x14ac:dyDescent="0.25">
      <c r="B73" s="13"/>
      <c r="D73" s="31"/>
      <c r="N73" s="16"/>
    </row>
    <row r="74" spans="2:14" ht="15.75" thickBot="1" x14ac:dyDescent="0.3">
      <c r="B74" s="13"/>
      <c r="C74" s="24"/>
      <c r="D74" s="24"/>
      <c r="E74" s="24"/>
      <c r="F74" s="24"/>
      <c r="G74" s="24"/>
      <c r="H74" s="24"/>
      <c r="I74" s="24"/>
      <c r="J74" s="24"/>
      <c r="K74" s="24"/>
      <c r="L74" s="24"/>
      <c r="M74" s="24"/>
      <c r="N74" s="16"/>
    </row>
    <row r="75" spans="2:14" ht="15" x14ac:dyDescent="0.25">
      <c r="B75" s="13"/>
      <c r="C75" s="14" t="s">
        <v>431</v>
      </c>
      <c r="D75" s="30"/>
      <c r="N75" s="16"/>
    </row>
    <row r="76" spans="2:14" ht="15" x14ac:dyDescent="0.25">
      <c r="B76" s="13"/>
      <c r="C76" s="31"/>
      <c r="D76" s="31"/>
      <c r="N76" s="16"/>
    </row>
    <row r="77" spans="2:14" s="33" customFormat="1" ht="15" x14ac:dyDescent="0.25">
      <c r="B77" s="32"/>
      <c r="C77" s="15" t="s">
        <v>432</v>
      </c>
      <c r="D77"/>
      <c r="E77" s="15" t="s">
        <v>433</v>
      </c>
      <c r="G77"/>
      <c r="H77" s="15" t="s">
        <v>434</v>
      </c>
      <c r="N77" s="34"/>
    </row>
    <row r="78" spans="2:14" s="33" customFormat="1" ht="15" x14ac:dyDescent="0.25">
      <c r="B78" s="32"/>
      <c r="C78" s="15" t="s">
        <v>435</v>
      </c>
      <c r="D78"/>
      <c r="E78" s="15" t="s">
        <v>436</v>
      </c>
      <c r="G78"/>
      <c r="H78" s="15" t="s">
        <v>437</v>
      </c>
      <c r="N78" s="34"/>
    </row>
    <row r="79" spans="2:14" s="33" customFormat="1" ht="15" x14ac:dyDescent="0.25">
      <c r="B79" s="13"/>
      <c r="C79" s="15" t="s">
        <v>438</v>
      </c>
      <c r="D79"/>
      <c r="E79" s="15" t="s">
        <v>439</v>
      </c>
      <c r="G79"/>
      <c r="H79" s="15" t="s">
        <v>440</v>
      </c>
      <c r="N79" s="34"/>
    </row>
    <row r="80" spans="2:14" s="33" customFormat="1" ht="15" x14ac:dyDescent="0.25">
      <c r="B80" s="32"/>
      <c r="G80"/>
      <c r="H80" s="15" t="s">
        <v>400</v>
      </c>
      <c r="N80" s="34"/>
    </row>
    <row r="81" spans="2:14" ht="15.75" thickBot="1" x14ac:dyDescent="0.3">
      <c r="B81" s="13"/>
      <c r="C81" s="24"/>
      <c r="D81" s="35"/>
      <c r="E81" s="24"/>
      <c r="F81" s="24"/>
      <c r="G81" s="24"/>
      <c r="H81" s="24"/>
      <c r="I81" s="24"/>
      <c r="J81" s="24"/>
      <c r="K81" s="24"/>
      <c r="L81" s="24"/>
      <c r="M81" s="24"/>
      <c r="N81" s="16"/>
    </row>
    <row r="82" spans="2:14" ht="15" x14ac:dyDescent="0.25">
      <c r="B82" s="13"/>
      <c r="D82" s="31"/>
      <c r="N82" s="16"/>
    </row>
    <row r="83" spans="2:14" ht="15" x14ac:dyDescent="0.25">
      <c r="B83" s="36"/>
      <c r="C83" s="37"/>
      <c r="D83" s="38"/>
      <c r="E83" s="37"/>
      <c r="F83" s="37"/>
      <c r="G83" s="37"/>
      <c r="H83" s="37"/>
      <c r="I83" s="37"/>
      <c r="J83" s="37"/>
      <c r="K83" s="37"/>
      <c r="L83" s="37"/>
      <c r="M83" s="37"/>
      <c r="N83" s="39"/>
    </row>
    <row r="84" spans="2:14" ht="15" x14ac:dyDescent="0.25">
      <c r="D84" s="31"/>
    </row>
    <row r="85" spans="2:14" ht="15" hidden="1" x14ac:dyDescent="0.25">
      <c r="D85" s="31"/>
    </row>
    <row r="86" spans="2:14" ht="15" hidden="1" x14ac:dyDescent="0.25">
      <c r="D86" s="31"/>
    </row>
    <row r="87" spans="2:14" ht="15" hidden="1" x14ac:dyDescent="0.25">
      <c r="C87" s="31"/>
      <c r="D87" s="31"/>
    </row>
  </sheetData>
  <mergeCells count="18">
    <mergeCell ref="L37:M37"/>
    <mergeCell ref="I38:J38"/>
    <mergeCell ref="I45:J45"/>
    <mergeCell ref="G48:H48"/>
    <mergeCell ref="I55:J55"/>
    <mergeCell ref="H70:I70"/>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285750</xdr:colOff>
                    <xdr:row>35</xdr:row>
                    <xdr:rowOff>38100</xdr:rowOff>
                  </from>
                  <to>
                    <xdr:col>1</xdr:col>
                    <xdr:colOff>552450</xdr:colOff>
                    <xdr:row>36</xdr:row>
                    <xdr:rowOff>9525</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285750</xdr:colOff>
                    <xdr:row>36</xdr:row>
                    <xdr:rowOff>38100</xdr:rowOff>
                  </from>
                  <to>
                    <xdr:col>1</xdr:col>
                    <xdr:colOff>552450</xdr:colOff>
                    <xdr:row>37</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285750</xdr:colOff>
                    <xdr:row>37</xdr:row>
                    <xdr:rowOff>38100</xdr:rowOff>
                  </from>
                  <to>
                    <xdr:col>1</xdr:col>
                    <xdr:colOff>552450</xdr:colOff>
                    <xdr:row>38</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285750</xdr:colOff>
                    <xdr:row>35</xdr:row>
                    <xdr:rowOff>38100</xdr:rowOff>
                  </from>
                  <to>
                    <xdr:col>6</xdr:col>
                    <xdr:colOff>552450</xdr:colOff>
                    <xdr:row>36</xdr:row>
                    <xdr:rowOff>9525</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285750</xdr:colOff>
                    <xdr:row>36</xdr:row>
                    <xdr:rowOff>38100</xdr:rowOff>
                  </from>
                  <to>
                    <xdr:col>6</xdr:col>
                    <xdr:colOff>552450</xdr:colOff>
                    <xdr:row>37</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285750</xdr:colOff>
                    <xdr:row>37</xdr:row>
                    <xdr:rowOff>38100</xdr:rowOff>
                  </from>
                  <to>
                    <xdr:col>6</xdr:col>
                    <xdr:colOff>552450</xdr:colOff>
                    <xdr:row>38</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285750</xdr:colOff>
                    <xdr:row>41</xdr:row>
                    <xdr:rowOff>38100</xdr:rowOff>
                  </from>
                  <to>
                    <xdr:col>1</xdr:col>
                    <xdr:colOff>552450</xdr:colOff>
                    <xdr:row>42</xdr:row>
                    <xdr:rowOff>9525</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285750</xdr:colOff>
                    <xdr:row>43</xdr:row>
                    <xdr:rowOff>38100</xdr:rowOff>
                  </from>
                  <to>
                    <xdr:col>1</xdr:col>
                    <xdr:colOff>552450</xdr:colOff>
                    <xdr:row>44</xdr:row>
                    <xdr:rowOff>9525</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285750</xdr:colOff>
                    <xdr:row>44</xdr:row>
                    <xdr:rowOff>38100</xdr:rowOff>
                  </from>
                  <to>
                    <xdr:col>1</xdr:col>
                    <xdr:colOff>552450</xdr:colOff>
                    <xdr:row>45</xdr:row>
                    <xdr:rowOff>9525</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285750</xdr:colOff>
                    <xdr:row>45</xdr:row>
                    <xdr:rowOff>38100</xdr:rowOff>
                  </from>
                  <to>
                    <xdr:col>1</xdr:col>
                    <xdr:colOff>552450</xdr:colOff>
                    <xdr:row>46</xdr:row>
                    <xdr:rowOff>9525</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285750</xdr:colOff>
                    <xdr:row>46</xdr:row>
                    <xdr:rowOff>38100</xdr:rowOff>
                  </from>
                  <to>
                    <xdr:col>1</xdr:col>
                    <xdr:colOff>552450</xdr:colOff>
                    <xdr:row>47</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285750</xdr:colOff>
                    <xdr:row>47</xdr:row>
                    <xdr:rowOff>38100</xdr:rowOff>
                  </from>
                  <to>
                    <xdr:col>1</xdr:col>
                    <xdr:colOff>552450</xdr:colOff>
                    <xdr:row>48</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285750</xdr:colOff>
                    <xdr:row>64</xdr:row>
                    <xdr:rowOff>38100</xdr:rowOff>
                  </from>
                  <to>
                    <xdr:col>1</xdr:col>
                    <xdr:colOff>552450</xdr:colOff>
                    <xdr:row>65</xdr:row>
                    <xdr:rowOff>9525</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285750</xdr:colOff>
                    <xdr:row>64</xdr:row>
                    <xdr:rowOff>38100</xdr:rowOff>
                  </from>
                  <to>
                    <xdr:col>1</xdr:col>
                    <xdr:colOff>552450</xdr:colOff>
                    <xdr:row>65</xdr:row>
                    <xdr:rowOff>9525</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285750</xdr:colOff>
                    <xdr:row>66</xdr:row>
                    <xdr:rowOff>38100</xdr:rowOff>
                  </from>
                  <to>
                    <xdr:col>1</xdr:col>
                    <xdr:colOff>552450</xdr:colOff>
                    <xdr:row>67</xdr:row>
                    <xdr:rowOff>9525</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285750</xdr:colOff>
                    <xdr:row>65</xdr:row>
                    <xdr:rowOff>38100</xdr:rowOff>
                  </from>
                  <to>
                    <xdr:col>1</xdr:col>
                    <xdr:colOff>552450</xdr:colOff>
                    <xdr:row>66</xdr:row>
                    <xdr:rowOff>9525</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285750</xdr:colOff>
                    <xdr:row>67</xdr:row>
                    <xdr:rowOff>38100</xdr:rowOff>
                  </from>
                  <to>
                    <xdr:col>1</xdr:col>
                    <xdr:colOff>552450</xdr:colOff>
                    <xdr:row>68</xdr:row>
                    <xdr:rowOff>9525</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285750</xdr:colOff>
                    <xdr:row>68</xdr:row>
                    <xdr:rowOff>38100</xdr:rowOff>
                  </from>
                  <to>
                    <xdr:col>1</xdr:col>
                    <xdr:colOff>552450</xdr:colOff>
                    <xdr:row>69</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285750</xdr:colOff>
                    <xdr:row>69</xdr:row>
                    <xdr:rowOff>38100</xdr:rowOff>
                  </from>
                  <to>
                    <xdr:col>1</xdr:col>
                    <xdr:colOff>552450</xdr:colOff>
                    <xdr:row>70</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285750</xdr:colOff>
                    <xdr:row>70</xdr:row>
                    <xdr:rowOff>38100</xdr:rowOff>
                  </from>
                  <to>
                    <xdr:col>1</xdr:col>
                    <xdr:colOff>552450</xdr:colOff>
                    <xdr:row>71</xdr:row>
                    <xdr:rowOff>9525</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285750</xdr:colOff>
                    <xdr:row>71</xdr:row>
                    <xdr:rowOff>38100</xdr:rowOff>
                  </from>
                  <to>
                    <xdr:col>1</xdr:col>
                    <xdr:colOff>552450</xdr:colOff>
                    <xdr:row>72</xdr:row>
                    <xdr:rowOff>9525</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285750</xdr:colOff>
                    <xdr:row>64</xdr:row>
                    <xdr:rowOff>38100</xdr:rowOff>
                  </from>
                  <to>
                    <xdr:col>3</xdr:col>
                    <xdr:colOff>552450</xdr:colOff>
                    <xdr:row>65</xdr:row>
                    <xdr:rowOff>9525</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285750</xdr:colOff>
                    <xdr:row>65</xdr:row>
                    <xdr:rowOff>38100</xdr:rowOff>
                  </from>
                  <to>
                    <xdr:col>3</xdr:col>
                    <xdr:colOff>552450</xdr:colOff>
                    <xdr:row>66</xdr:row>
                    <xdr:rowOff>9525</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285750</xdr:colOff>
                    <xdr:row>66</xdr:row>
                    <xdr:rowOff>38100</xdr:rowOff>
                  </from>
                  <to>
                    <xdr:col>3</xdr:col>
                    <xdr:colOff>552450</xdr:colOff>
                    <xdr:row>67</xdr:row>
                    <xdr:rowOff>9525</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285750</xdr:colOff>
                    <xdr:row>67</xdr:row>
                    <xdr:rowOff>38100</xdr:rowOff>
                  </from>
                  <to>
                    <xdr:col>3</xdr:col>
                    <xdr:colOff>552450</xdr:colOff>
                    <xdr:row>68</xdr:row>
                    <xdr:rowOff>9525</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285750</xdr:colOff>
                    <xdr:row>68</xdr:row>
                    <xdr:rowOff>38100</xdr:rowOff>
                  </from>
                  <to>
                    <xdr:col>3</xdr:col>
                    <xdr:colOff>552450</xdr:colOff>
                    <xdr:row>69</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285750</xdr:colOff>
                    <xdr:row>69</xdr:row>
                    <xdr:rowOff>38100</xdr:rowOff>
                  </from>
                  <to>
                    <xdr:col>3</xdr:col>
                    <xdr:colOff>552450</xdr:colOff>
                    <xdr:row>70</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285750</xdr:colOff>
                    <xdr:row>70</xdr:row>
                    <xdr:rowOff>38100</xdr:rowOff>
                  </from>
                  <to>
                    <xdr:col>3</xdr:col>
                    <xdr:colOff>552450</xdr:colOff>
                    <xdr:row>71</xdr:row>
                    <xdr:rowOff>9525</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285750</xdr:colOff>
                    <xdr:row>71</xdr:row>
                    <xdr:rowOff>38100</xdr:rowOff>
                  </from>
                  <to>
                    <xdr:col>3</xdr:col>
                    <xdr:colOff>552450</xdr:colOff>
                    <xdr:row>72</xdr:row>
                    <xdr:rowOff>9525</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285750</xdr:colOff>
                    <xdr:row>64</xdr:row>
                    <xdr:rowOff>38100</xdr:rowOff>
                  </from>
                  <to>
                    <xdr:col>6</xdr:col>
                    <xdr:colOff>552450</xdr:colOff>
                    <xdr:row>65</xdr:row>
                    <xdr:rowOff>9525</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285750</xdr:colOff>
                    <xdr:row>65</xdr:row>
                    <xdr:rowOff>38100</xdr:rowOff>
                  </from>
                  <to>
                    <xdr:col>6</xdr:col>
                    <xdr:colOff>552450</xdr:colOff>
                    <xdr:row>66</xdr:row>
                    <xdr:rowOff>9525</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285750</xdr:colOff>
                    <xdr:row>66</xdr:row>
                    <xdr:rowOff>38100</xdr:rowOff>
                  </from>
                  <to>
                    <xdr:col>6</xdr:col>
                    <xdr:colOff>552450</xdr:colOff>
                    <xdr:row>67</xdr:row>
                    <xdr:rowOff>9525</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285750</xdr:colOff>
                    <xdr:row>67</xdr:row>
                    <xdr:rowOff>38100</xdr:rowOff>
                  </from>
                  <to>
                    <xdr:col>6</xdr:col>
                    <xdr:colOff>552450</xdr:colOff>
                    <xdr:row>68</xdr:row>
                    <xdr:rowOff>9525</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285750</xdr:colOff>
                    <xdr:row>68</xdr:row>
                    <xdr:rowOff>38100</xdr:rowOff>
                  </from>
                  <to>
                    <xdr:col>6</xdr:col>
                    <xdr:colOff>552450</xdr:colOff>
                    <xdr:row>69</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285750</xdr:colOff>
                    <xdr:row>76</xdr:row>
                    <xdr:rowOff>38100</xdr:rowOff>
                  </from>
                  <to>
                    <xdr:col>6</xdr:col>
                    <xdr:colOff>552450</xdr:colOff>
                    <xdr:row>77</xdr:row>
                    <xdr:rowOff>9525</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285750</xdr:colOff>
                    <xdr:row>77</xdr:row>
                    <xdr:rowOff>38100</xdr:rowOff>
                  </from>
                  <to>
                    <xdr:col>6</xdr:col>
                    <xdr:colOff>552450</xdr:colOff>
                    <xdr:row>78</xdr:row>
                    <xdr:rowOff>9525</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285750</xdr:colOff>
                    <xdr:row>77</xdr:row>
                    <xdr:rowOff>38100</xdr:rowOff>
                  </from>
                  <to>
                    <xdr:col>6</xdr:col>
                    <xdr:colOff>552450</xdr:colOff>
                    <xdr:row>78</xdr:row>
                    <xdr:rowOff>9525</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285750</xdr:colOff>
                    <xdr:row>78</xdr:row>
                    <xdr:rowOff>38100</xdr:rowOff>
                  </from>
                  <to>
                    <xdr:col>6</xdr:col>
                    <xdr:colOff>552450</xdr:colOff>
                    <xdr:row>79</xdr:row>
                    <xdr:rowOff>9525</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285750</xdr:colOff>
                    <xdr:row>78</xdr:row>
                    <xdr:rowOff>38100</xdr:rowOff>
                  </from>
                  <to>
                    <xdr:col>6</xdr:col>
                    <xdr:colOff>552450</xdr:colOff>
                    <xdr:row>79</xdr:row>
                    <xdr:rowOff>9525</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285750</xdr:colOff>
                    <xdr:row>78</xdr:row>
                    <xdr:rowOff>38100</xdr:rowOff>
                  </from>
                  <to>
                    <xdr:col>6</xdr:col>
                    <xdr:colOff>552450</xdr:colOff>
                    <xdr:row>79</xdr:row>
                    <xdr:rowOff>9525</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285750</xdr:colOff>
                    <xdr:row>79</xdr:row>
                    <xdr:rowOff>38100</xdr:rowOff>
                  </from>
                  <to>
                    <xdr:col>6</xdr:col>
                    <xdr:colOff>552450</xdr:colOff>
                    <xdr:row>80</xdr:row>
                    <xdr:rowOff>9525</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285750</xdr:colOff>
                    <xdr:row>76</xdr:row>
                    <xdr:rowOff>38100</xdr:rowOff>
                  </from>
                  <to>
                    <xdr:col>3</xdr:col>
                    <xdr:colOff>552450</xdr:colOff>
                    <xdr:row>77</xdr:row>
                    <xdr:rowOff>9525</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285750</xdr:colOff>
                    <xdr:row>76</xdr:row>
                    <xdr:rowOff>38100</xdr:rowOff>
                  </from>
                  <to>
                    <xdr:col>3</xdr:col>
                    <xdr:colOff>552450</xdr:colOff>
                    <xdr:row>77</xdr:row>
                    <xdr:rowOff>9525</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285750</xdr:colOff>
                    <xdr:row>76</xdr:row>
                    <xdr:rowOff>38100</xdr:rowOff>
                  </from>
                  <to>
                    <xdr:col>3</xdr:col>
                    <xdr:colOff>552450</xdr:colOff>
                    <xdr:row>77</xdr:row>
                    <xdr:rowOff>9525</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285750</xdr:colOff>
                    <xdr:row>76</xdr:row>
                    <xdr:rowOff>38100</xdr:rowOff>
                  </from>
                  <to>
                    <xdr:col>3</xdr:col>
                    <xdr:colOff>552450</xdr:colOff>
                    <xdr:row>77</xdr:row>
                    <xdr:rowOff>9525</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285750</xdr:colOff>
                    <xdr:row>77</xdr:row>
                    <xdr:rowOff>38100</xdr:rowOff>
                  </from>
                  <to>
                    <xdr:col>3</xdr:col>
                    <xdr:colOff>552450</xdr:colOff>
                    <xdr:row>78</xdr:row>
                    <xdr:rowOff>9525</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285750</xdr:colOff>
                    <xdr:row>77</xdr:row>
                    <xdr:rowOff>38100</xdr:rowOff>
                  </from>
                  <to>
                    <xdr:col>3</xdr:col>
                    <xdr:colOff>552450</xdr:colOff>
                    <xdr:row>78</xdr:row>
                    <xdr:rowOff>9525</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285750</xdr:colOff>
                    <xdr:row>77</xdr:row>
                    <xdr:rowOff>38100</xdr:rowOff>
                  </from>
                  <to>
                    <xdr:col>3</xdr:col>
                    <xdr:colOff>552450</xdr:colOff>
                    <xdr:row>78</xdr:row>
                    <xdr:rowOff>9525</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285750</xdr:colOff>
                    <xdr:row>77</xdr:row>
                    <xdr:rowOff>38100</xdr:rowOff>
                  </from>
                  <to>
                    <xdr:col>3</xdr:col>
                    <xdr:colOff>552450</xdr:colOff>
                    <xdr:row>78</xdr:row>
                    <xdr:rowOff>9525</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285750</xdr:colOff>
                    <xdr:row>77</xdr:row>
                    <xdr:rowOff>38100</xdr:rowOff>
                  </from>
                  <to>
                    <xdr:col>3</xdr:col>
                    <xdr:colOff>552450</xdr:colOff>
                    <xdr:row>78</xdr:row>
                    <xdr:rowOff>9525</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285750</xdr:colOff>
                    <xdr:row>78</xdr:row>
                    <xdr:rowOff>38100</xdr:rowOff>
                  </from>
                  <to>
                    <xdr:col>3</xdr:col>
                    <xdr:colOff>552450</xdr:colOff>
                    <xdr:row>79</xdr:row>
                    <xdr:rowOff>9525</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285750</xdr:colOff>
                    <xdr:row>77</xdr:row>
                    <xdr:rowOff>38100</xdr:rowOff>
                  </from>
                  <to>
                    <xdr:col>1</xdr:col>
                    <xdr:colOff>552450</xdr:colOff>
                    <xdr:row>78</xdr:row>
                    <xdr:rowOff>9525</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285750</xdr:colOff>
                    <xdr:row>78</xdr:row>
                    <xdr:rowOff>38100</xdr:rowOff>
                  </from>
                  <to>
                    <xdr:col>1</xdr:col>
                    <xdr:colOff>552450</xdr:colOff>
                    <xdr:row>79</xdr:row>
                    <xdr:rowOff>9525</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285750</xdr:colOff>
                    <xdr:row>76</xdr:row>
                    <xdr:rowOff>38100</xdr:rowOff>
                  </from>
                  <to>
                    <xdr:col>1</xdr:col>
                    <xdr:colOff>552450</xdr:colOff>
                    <xdr:row>77</xdr:row>
                    <xdr:rowOff>9525</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2314575</xdr:colOff>
                    <xdr:row>41</xdr:row>
                    <xdr:rowOff>0</xdr:rowOff>
                  </from>
                  <to>
                    <xdr:col>5</xdr:col>
                    <xdr:colOff>47625</xdr:colOff>
                    <xdr:row>41</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2314575</xdr:colOff>
                    <xdr:row>42</xdr:row>
                    <xdr:rowOff>0</xdr:rowOff>
                  </from>
                  <to>
                    <xdr:col>5</xdr:col>
                    <xdr:colOff>47625</xdr:colOff>
                    <xdr:row>42</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2314575</xdr:colOff>
                    <xdr:row>43</xdr:row>
                    <xdr:rowOff>0</xdr:rowOff>
                  </from>
                  <to>
                    <xdr:col>5</xdr:col>
                    <xdr:colOff>47625</xdr:colOff>
                    <xdr:row>43</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2314575</xdr:colOff>
                    <xdr:row>44</xdr:row>
                    <xdr:rowOff>0</xdr:rowOff>
                  </from>
                  <to>
                    <xdr:col>5</xdr:col>
                    <xdr:colOff>47625</xdr:colOff>
                    <xdr:row>44</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2314575</xdr:colOff>
                    <xdr:row>45</xdr:row>
                    <xdr:rowOff>0</xdr:rowOff>
                  </from>
                  <to>
                    <xdr:col>5</xdr:col>
                    <xdr:colOff>47625</xdr:colOff>
                    <xdr:row>45</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2314575</xdr:colOff>
                    <xdr:row>46</xdr:row>
                    <xdr:rowOff>0</xdr:rowOff>
                  </from>
                  <to>
                    <xdr:col>5</xdr:col>
                    <xdr:colOff>47625</xdr:colOff>
                    <xdr:row>46</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285750</xdr:colOff>
                    <xdr:row>42</xdr:row>
                    <xdr:rowOff>38100</xdr:rowOff>
                  </from>
                  <to>
                    <xdr:col>1</xdr:col>
                    <xdr:colOff>552450</xdr:colOff>
                    <xdr:row>43</xdr:row>
                    <xdr:rowOff>9525</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285750</xdr:colOff>
                    <xdr:row>51</xdr:row>
                    <xdr:rowOff>38100</xdr:rowOff>
                  </from>
                  <to>
                    <xdr:col>1</xdr:col>
                    <xdr:colOff>552450</xdr:colOff>
                    <xdr:row>52</xdr:row>
                    <xdr:rowOff>9525</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285750</xdr:colOff>
                    <xdr:row>52</xdr:row>
                    <xdr:rowOff>38100</xdr:rowOff>
                  </from>
                  <to>
                    <xdr:col>1</xdr:col>
                    <xdr:colOff>552450</xdr:colOff>
                    <xdr:row>53</xdr:row>
                    <xdr:rowOff>9525</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285750</xdr:colOff>
                    <xdr:row>53</xdr:row>
                    <xdr:rowOff>38100</xdr:rowOff>
                  </from>
                  <to>
                    <xdr:col>1</xdr:col>
                    <xdr:colOff>552450</xdr:colOff>
                    <xdr:row>54</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285750</xdr:colOff>
                    <xdr:row>54</xdr:row>
                    <xdr:rowOff>38100</xdr:rowOff>
                  </from>
                  <to>
                    <xdr:col>1</xdr:col>
                    <xdr:colOff>552450</xdr:colOff>
                    <xdr:row>55</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285750</xdr:colOff>
                    <xdr:row>55</xdr:row>
                    <xdr:rowOff>38100</xdr:rowOff>
                  </from>
                  <to>
                    <xdr:col>1</xdr:col>
                    <xdr:colOff>552450</xdr:colOff>
                    <xdr:row>56</xdr:row>
                    <xdr:rowOff>9525</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285750</xdr:colOff>
                    <xdr:row>56</xdr:row>
                    <xdr:rowOff>38100</xdr:rowOff>
                  </from>
                  <to>
                    <xdr:col>1</xdr:col>
                    <xdr:colOff>552450</xdr:colOff>
                    <xdr:row>57</xdr:row>
                    <xdr:rowOff>9525</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285750</xdr:colOff>
                    <xdr:row>57</xdr:row>
                    <xdr:rowOff>38100</xdr:rowOff>
                  </from>
                  <to>
                    <xdr:col>1</xdr:col>
                    <xdr:colOff>552450</xdr:colOff>
                    <xdr:row>58</xdr:row>
                    <xdr:rowOff>9525</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285750</xdr:colOff>
                    <xdr:row>58</xdr:row>
                    <xdr:rowOff>38100</xdr:rowOff>
                  </from>
                  <to>
                    <xdr:col>1</xdr:col>
                    <xdr:colOff>552450</xdr:colOff>
                    <xdr:row>59</xdr:row>
                    <xdr:rowOff>9525</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285750</xdr:colOff>
                    <xdr:row>59</xdr:row>
                    <xdr:rowOff>38100</xdr:rowOff>
                  </from>
                  <to>
                    <xdr:col>1</xdr:col>
                    <xdr:colOff>552450</xdr:colOff>
                    <xdr:row>60</xdr:row>
                    <xdr:rowOff>9525</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285750</xdr:colOff>
                    <xdr:row>60</xdr:row>
                    <xdr:rowOff>38100</xdr:rowOff>
                  </from>
                  <to>
                    <xdr:col>1</xdr:col>
                    <xdr:colOff>552450</xdr:colOff>
                    <xdr:row>61</xdr:row>
                    <xdr:rowOff>9525</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285750</xdr:colOff>
                    <xdr:row>51</xdr:row>
                    <xdr:rowOff>38100</xdr:rowOff>
                  </from>
                  <to>
                    <xdr:col>3</xdr:col>
                    <xdr:colOff>552450</xdr:colOff>
                    <xdr:row>52</xdr:row>
                    <xdr:rowOff>9525</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285750</xdr:colOff>
                    <xdr:row>52</xdr:row>
                    <xdr:rowOff>38100</xdr:rowOff>
                  </from>
                  <to>
                    <xdr:col>3</xdr:col>
                    <xdr:colOff>552450</xdr:colOff>
                    <xdr:row>53</xdr:row>
                    <xdr:rowOff>9525</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285750</xdr:colOff>
                    <xdr:row>54</xdr:row>
                    <xdr:rowOff>38100</xdr:rowOff>
                  </from>
                  <to>
                    <xdr:col>3</xdr:col>
                    <xdr:colOff>552450</xdr:colOff>
                    <xdr:row>55</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285750</xdr:colOff>
                    <xdr:row>53</xdr:row>
                    <xdr:rowOff>38100</xdr:rowOff>
                  </from>
                  <to>
                    <xdr:col>3</xdr:col>
                    <xdr:colOff>552450</xdr:colOff>
                    <xdr:row>54</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285750</xdr:colOff>
                    <xdr:row>55</xdr:row>
                    <xdr:rowOff>38100</xdr:rowOff>
                  </from>
                  <to>
                    <xdr:col>3</xdr:col>
                    <xdr:colOff>552450</xdr:colOff>
                    <xdr:row>56</xdr:row>
                    <xdr:rowOff>9525</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285750</xdr:colOff>
                    <xdr:row>56</xdr:row>
                    <xdr:rowOff>38100</xdr:rowOff>
                  </from>
                  <to>
                    <xdr:col>3</xdr:col>
                    <xdr:colOff>552450</xdr:colOff>
                    <xdr:row>57</xdr:row>
                    <xdr:rowOff>9525</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285750</xdr:colOff>
                    <xdr:row>51</xdr:row>
                    <xdr:rowOff>38100</xdr:rowOff>
                  </from>
                  <to>
                    <xdr:col>6</xdr:col>
                    <xdr:colOff>552450</xdr:colOff>
                    <xdr:row>52</xdr:row>
                    <xdr:rowOff>9525</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285750</xdr:colOff>
                    <xdr:row>52</xdr:row>
                    <xdr:rowOff>38100</xdr:rowOff>
                  </from>
                  <to>
                    <xdr:col>6</xdr:col>
                    <xdr:colOff>552450</xdr:colOff>
                    <xdr:row>53</xdr:row>
                    <xdr:rowOff>9525</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285750</xdr:colOff>
                    <xdr:row>54</xdr:row>
                    <xdr:rowOff>38100</xdr:rowOff>
                  </from>
                  <to>
                    <xdr:col>6</xdr:col>
                    <xdr:colOff>552450</xdr:colOff>
                    <xdr:row>55</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285750</xdr:colOff>
                    <xdr:row>53</xdr:row>
                    <xdr:rowOff>38100</xdr:rowOff>
                  </from>
                  <to>
                    <xdr:col>6</xdr:col>
                    <xdr:colOff>552450</xdr:colOff>
                    <xdr:row>54</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2314575</xdr:colOff>
                    <xdr:row>41</xdr:row>
                    <xdr:rowOff>0</xdr:rowOff>
                  </from>
                  <to>
                    <xdr:col>5</xdr:col>
                    <xdr:colOff>47625</xdr:colOff>
                    <xdr:row>41</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56"/>
  <sheetViews>
    <sheetView showGridLines="0" topLeftCell="A34" workbookViewId="0">
      <selection activeCell="I54" sqref="I54"/>
    </sheetView>
  </sheetViews>
  <sheetFormatPr defaultRowHeight="15" x14ac:dyDescent="0.25"/>
  <cols>
    <col min="1" max="1" width="10" customWidth="1"/>
    <col min="2" max="2" width="8.140625" customWidth="1"/>
    <col min="3" max="3" width="80.85546875" customWidth="1"/>
  </cols>
  <sheetData>
    <row r="1" spans="1:3" ht="23.25" x14ac:dyDescent="0.25">
      <c r="A1" s="164" t="s">
        <v>441</v>
      </c>
      <c r="B1" s="164"/>
      <c r="C1" s="164"/>
    </row>
    <row r="2" spans="1:3" x14ac:dyDescent="0.25">
      <c r="A2" s="165" t="s">
        <v>442</v>
      </c>
      <c r="B2" s="165"/>
      <c r="C2" s="165"/>
    </row>
    <row r="3" spans="1:3" x14ac:dyDescent="0.25">
      <c r="A3" s="89"/>
      <c r="B3" s="89"/>
      <c r="C3" s="89"/>
    </row>
    <row r="4" spans="1:3" x14ac:dyDescent="0.25">
      <c r="A4" s="90" t="s">
        <v>443</v>
      </c>
      <c r="B4" s="91" t="s">
        <v>444</v>
      </c>
      <c r="C4" s="91" t="s">
        <v>445</v>
      </c>
    </row>
    <row r="5" x14ac:dyDescent="0.25">
      <c r="A5" s="162" t="inlineStr">
        <is>
          <t xml:space="preserve">1. How is the suspicious activity amount of $44,035.00 reconciled in the narrative?</t>
        </is>
      </c>
      <c r="B5" s="163"/>
      <c r="C5" s="163"/>
    </row>
    <row r="6" ht="15.75" x14ac:dyDescent="0.25">
      <c r="A6" s="92"/>
      <c r="B6" s="97" t="inlineStr">
        <is>
          <t xml:space="preserve">A</t>
        </is>
      </c>
      <c r="C6" s="96" t="inlineStr">
        <is>
          <t xml:space="preserve">$10,077.55 payroll + $22,085.00 incoming P2P + $21,950.00 outgoing wires</t>
        </is>
      </c>
    </row>
    <row r="7" ht="15.75" x14ac:dyDescent="0.25">
      <c r="A7" s="92" t="inlineStr">
        <is>
          <t xml:space="preserve">X</t>
        </is>
      </c>
      <c r="B7" s="105" t="inlineStr">
        <is>
          <t xml:space="preserve">B</t>
        </is>
      </c>
      <c r="C7" s="106" t="inlineStr">
        <is>
          <t xml:space="preserve">$22,085.00 incoming P2P + $21,950.00 outgoing international wires</t>
        </is>
      </c>
    </row>
    <row r="8" ht="15.75" x14ac:dyDescent="0.25">
      <c r="A8" s="92"/>
      <c r="B8" s="97" t="inlineStr">
        <is>
          <t xml:space="preserve">C</t>
        </is>
      </c>
      <c r="C8" s="96" t="inlineStr">
        <is>
          <t xml:space="preserve">$22,085.00 incoming P2P + $21,950.00 outgoing wires + $270.00 wire fees</t>
        </is>
      </c>
    </row>
    <row r="9" spans="1:3" x14ac:dyDescent="0.25">
      <c r="A9" s="93"/>
      <c r="B9" s="76"/>
      <c r="C9" s="76"/>
    </row>
    <row r="10" x14ac:dyDescent="0.25">
      <c r="A10" s="162" t="inlineStr">
        <is>
          <t xml:space="preserve">2. Which activity generated the alerted events for this case?</t>
        </is>
      </c>
      <c r="B10" s="163"/>
      <c r="C10" s="163"/>
    </row>
    <row r="11" ht="15.75" x14ac:dyDescent="0.25">
      <c r="A11" s="92"/>
      <c r="B11" s="97" t="inlineStr">
        <is>
          <t xml:space="preserve">A</t>
        </is>
      </c>
      <c r="C11" s="96" t="inlineStr">
        <is>
          <t xml:space="preserve">64 incoming Zelle payments ranging from $200.00 to $500.00</t>
        </is>
      </c>
    </row>
    <row r="12" ht="15.75" x14ac:dyDescent="0.25">
      <c r="A12" s="92"/>
      <c r="B12" s="97" t="inlineStr">
        <is>
          <t xml:space="preserve">B</t>
        </is>
      </c>
      <c r="C12" s="96" t="inlineStr">
        <is>
          <t xml:space="preserve">26 weekly payroll deposits from Walmart Inc.</t>
        </is>
      </c>
    </row>
    <row r="13" ht="15.75" x14ac:dyDescent="0.25">
      <c r="A13" s="92" t="inlineStr">
        <is>
          <t xml:space="preserve">X</t>
        </is>
      </c>
      <c r="B13" s="105" t="inlineStr">
        <is>
          <t xml:space="preserve">C</t>
        </is>
      </c>
      <c r="C13" s="106" t="inlineStr">
        <is>
          <t xml:space="preserve">Six large outgoing international wire transfers from the DDA ending 0214</t>
        </is>
      </c>
    </row>
    <row r="14" x14ac:dyDescent="0.25">
      <c r="A14" s="93"/>
      <c r="B14" s="99" t="inlineStr">
        <is>
          <t xml:space="preserve">D</t>
        </is>
      </c>
      <c r="C14" s="98" t="inlineStr">
        <is>
          <t xml:space="preserve">Two internal transfers to the savings account ending 0873</t>
        </is>
      </c>
    </row>
    <row r="15" x14ac:dyDescent="0.25">
      <c r="A15" s="162" t="inlineStr">
        <is>
          <t xml:space="preserve">3. Which statement correctly reconciles the alerted events to the customer’s accounts?</t>
        </is>
      </c>
      <c r="B15" s="163"/>
      <c r="C15" s="163"/>
    </row>
    <row r="16" ht="15.75" x14ac:dyDescent="0.25">
      <c r="A16" s="92" t="inlineStr">
        <is>
          <t xml:space="preserve">X</t>
        </is>
      </c>
      <c r="B16" s="97" t="inlineStr">
        <is>
          <t xml:space="preserve">A</t>
        </is>
      </c>
      <c r="C16" s="96" t="inlineStr">
        <is>
          <t xml:space="preserve">The DDA ending 0214 had 6 alerted events; the savings account ending 0873 had none</t>
        </is>
      </c>
    </row>
    <row r="17" ht="15.75" x14ac:dyDescent="0.25">
      <c r="A17" s="92"/>
      <c r="B17" s="105" t="inlineStr">
        <is>
          <t xml:space="preserve">B</t>
        </is>
      </c>
      <c r="C17" s="106" t="inlineStr">
        <is>
          <t xml:space="preserve">The savings account ending 0873 had 6 alerted events; the DDA had none</t>
        </is>
      </c>
    </row>
    <row r="18" ht="15.75" x14ac:dyDescent="0.25">
      <c r="A18" s="92"/>
      <c r="B18" s="97" t="inlineStr">
        <is>
          <t xml:space="preserve">C</t>
        </is>
      </c>
      <c r="C18" s="96" t="inlineStr">
        <is>
          <t xml:space="preserve">Both accounts had alerted events because funds moved between them</t>
        </is>
      </c>
    </row>
    <row r="19" spans="1:3" x14ac:dyDescent="0.25">
      <c r="A19" s="93"/>
      <c r="B19" s="76"/>
      <c r="C19" s="76"/>
    </row>
    <row r="20" x14ac:dyDescent="0.25">
      <c r="A20" s="162" t="inlineStr">
        <is>
          <t xml:space="preserve">4. Which fact links the incoming P2P activity to the outgoing wires?</t>
        </is>
      </c>
      <c r="B20" s="163"/>
      <c r="C20" s="163"/>
    </row>
    <row r="21" ht="15.75" x14ac:dyDescent="0.25">
      <c r="A21" s="92"/>
      <c r="B21" s="97" t="inlineStr">
        <is>
          <t xml:space="preserve">A</t>
        </is>
      </c>
      <c r="C21" s="96" t="inlineStr">
        <is>
          <t xml:space="preserve">The wires were sent to the same banks that sent the P2P payments</t>
        </is>
      </c>
    </row>
    <row r="22" ht="15.75" x14ac:dyDescent="0.25">
      <c r="A22" s="92" t="inlineStr">
        <is>
          <t xml:space="preserve">X</t>
        </is>
      </c>
      <c r="B22" s="97" t="inlineStr">
        <is>
          <t xml:space="preserve">B</t>
        </is>
      </c>
      <c r="C22" s="96" t="inlineStr">
        <is>
          <t xml:space="preserve">Each monthly wire amount was within $50.00 of the P2P funds received in the same month</t>
        </is>
      </c>
    </row>
    <row r="23" ht="15.75" x14ac:dyDescent="0.25">
      <c r="A23" s="92"/>
      <c r="B23" s="105" t="inlineStr">
        <is>
          <t xml:space="preserve">C</t>
        </is>
      </c>
      <c r="C23" s="106" t="inlineStr">
        <is>
          <t xml:space="preserve">The P2P senders were the same individuals each month</t>
        </is>
      </c>
    </row>
    <row r="24" spans="1:3" x14ac:dyDescent="0.25">
      <c r="A24" s="93"/>
      <c r="B24" s="76"/>
      <c r="C24" s="76"/>
    </row>
    <row r="25" x14ac:dyDescent="0.25">
      <c r="A25" s="162" t="inlineStr">
        <is>
          <t xml:space="preserve">5. Which comparison best shows the activity is inconsistent with the customer’s KYC profile?</t>
        </is>
      </c>
      <c r="B25" s="163"/>
      <c r="C25" s="163"/>
    </row>
    <row r="26" ht="15.75" x14ac:dyDescent="0.25">
      <c r="A26" s="92"/>
      <c r="B26" s="97" t="inlineStr">
        <is>
          <t xml:space="preserve">A</t>
        </is>
      </c>
      <c r="C26" s="96" t="inlineStr">
        <is>
          <t xml:space="preserve">Rent of $650.00 compared to payroll of $380.00 to $400.00 per week</t>
        </is>
      </c>
    </row>
    <row r="27" ht="15.75" x14ac:dyDescent="0.25">
      <c r="A27" s="92"/>
      <c r="B27" s="97" t="inlineStr">
        <is>
          <t xml:space="preserve">B</t>
        </is>
      </c>
      <c r="C27" s="96" t="inlineStr">
        <is>
          <t xml:space="preserve">Grocery and fuel purchases at local Orlando merchants</t>
        </is>
      </c>
    </row>
    <row r="28" ht="15.75" x14ac:dyDescent="0.25">
      <c r="A28" s="92"/>
      <c r="B28" s="97" t="inlineStr">
        <is>
          <t xml:space="preserve">C</t>
        </is>
      </c>
      <c r="C28" s="96" t="inlineStr">
        <is>
          <t xml:space="preserve">Two $100.00 transfers to the customer’s own savings account</t>
        </is>
      </c>
    </row>
    <row r="29" ht="30" x14ac:dyDescent="0.25">
      <c r="A29" s="93" t="inlineStr">
        <is>
          <t xml:space="preserve">X</t>
        </is>
      </c>
      <c r="B29" s="108" t="inlineStr">
        <is>
          <t xml:space="preserve">D</t>
        </is>
      </c>
      <c r="C29" s="109" t="inlineStr">
        <is>
          <t xml:space="preserve">Weekly payroll of $380.00 to $400.00 compared to monthly wires of $3,150.00 to $4,100.00</t>
        </is>
      </c>
    </row>
    <row r="30" x14ac:dyDescent="0.25">
      <c r="A30" s="162" t="inlineStr">
        <is>
          <t xml:space="preserve">6. Which SAR product and payment-mechanism selections best match the reported activity?</t>
        </is>
      </c>
      <c r="B30" s="163"/>
      <c r="C30" s="163"/>
    </row>
    <row r="31" ht="15.75" x14ac:dyDescent="0.25">
      <c r="A31" s="92"/>
      <c r="B31" s="97" t="inlineStr">
        <is>
          <t xml:space="preserve">A</t>
        </is>
      </c>
      <c r="C31" s="100" t="inlineStr">
        <is>
          <t xml:space="preserve">Credit card; foreign currency; cashier’s checks</t>
        </is>
      </c>
    </row>
    <row r="32" ht="15.75" x14ac:dyDescent="0.25">
      <c r="A32" s="92" t="inlineStr">
        <is>
          <t xml:space="preserve">X</t>
        </is>
      </c>
      <c r="B32" s="105" t="inlineStr">
        <is>
          <t xml:space="preserve">B</t>
        </is>
      </c>
      <c r="C32" s="107" t="inlineStr">
        <is>
          <t xml:space="preserve">Deposit account; funds transfer</t>
        </is>
      </c>
    </row>
    <row r="33" ht="15.75" x14ac:dyDescent="0.25">
      <c r="A33" s="92"/>
      <c r="B33" s="97" t="inlineStr">
        <is>
          <t xml:space="preserve">C</t>
        </is>
      </c>
      <c r="C33" s="100" t="inlineStr">
        <is>
          <t xml:space="preserve">Residential mortgage; personal checks; money orders</t>
        </is>
      </c>
    </row>
    <row r="34" ht="15.75" x14ac:dyDescent="0.25">
      <c r="A34" s="92"/>
      <c r="B34" s="97" t="inlineStr">
        <is>
          <t xml:space="preserve">D</t>
        </is>
      </c>
      <c r="C34" s="100" t="inlineStr">
        <is>
          <t xml:space="preserve">Prepaid access; U.S. currency; travelers checks</t>
        </is>
      </c>
    </row>
    <row r="35" spans="1:3" x14ac:dyDescent="0.25">
      <c r="A35" s="93"/>
      <c r="B35" s="76"/>
      <c r="C35" s="76"/>
    </row>
    <row r="36" x14ac:dyDescent="0.25">
      <c r="A36" s="162" t="inlineStr">
        <is>
          <t xml:space="preserve">7. Which facts provide mitigation but do not explain the suspicious activity?</t>
        </is>
      </c>
      <c r="B36" s="163"/>
      <c r="C36" s="163"/>
    </row>
    <row r="37" ht="15.75" x14ac:dyDescent="0.25">
      <c r="A37" s="92" t="inlineStr">
        <is>
          <t xml:space="preserve">X</t>
        </is>
      </c>
      <c r="B37" s="97" t="inlineStr">
        <is>
          <t xml:space="preserve">A</t>
        </is>
      </c>
      <c r="C37" s="96" t="inlineStr">
        <is>
          <t xml:space="preserve">Weekly payroll from Walmart Inc. and ordinary rent, utility, grocery, and fuel payments</t>
        </is>
      </c>
    </row>
    <row r="38" ht="15.75" x14ac:dyDescent="0.25">
      <c r="A38" s="92"/>
      <c r="B38" s="97" t="inlineStr">
        <is>
          <t xml:space="preserve">B</t>
        </is>
      </c>
      <c r="C38" s="96" t="inlineStr">
        <is>
          <t xml:space="preserve">Blank or vague notes on the incoming P2P payments</t>
        </is>
      </c>
    </row>
    <row r="39" ht="15.75" x14ac:dyDescent="0.25">
      <c r="A39" s="92"/>
      <c r="B39" s="105" t="inlineStr">
        <is>
          <t xml:space="preserve">C</t>
        </is>
      </c>
      <c r="C39" s="106" t="inlineStr">
        <is>
          <t xml:space="preserve">Vague wire descriptions such as “Services” and “Invoice”</t>
        </is>
      </c>
    </row>
    <row r="40" ht="15.75" x14ac:dyDescent="0.25">
      <c r="A40" s="92"/>
      <c r="B40" s="97" t="inlineStr">
        <is>
          <t xml:space="preserve">D</t>
        </is>
      </c>
      <c r="C40" s="96" t="inlineStr">
        <is>
          <t xml:space="preserve">Wires sent on the last business day of each month</t>
        </is>
      </c>
    </row>
    <row r="41" spans="1:3" x14ac:dyDescent="0.25">
      <c r="A41" s="93"/>
      <c r="B41" s="76"/>
      <c r="C41" s="76"/>
    </row>
    <row r="42" x14ac:dyDescent="0.25">
      <c r="A42" s="162" t="inlineStr">
        <is>
          <t xml:space="preserve">8. Which SAR Item 38 selection matches the wire beneficiary location?</t>
        </is>
      </c>
      <c r="B42" s="163"/>
      <c r="C42" s="163"/>
    </row>
    <row r="43" ht="15.75" x14ac:dyDescent="0.25">
      <c r="A43" s="92"/>
      <c r="B43" s="97" t="inlineStr">
        <is>
          <t xml:space="preserve">A</t>
        </is>
      </c>
      <c r="C43" s="96" t="inlineStr">
        <is>
          <t xml:space="preserve">a. Account takeover</t>
        </is>
      </c>
    </row>
    <row r="44" ht="15.75" x14ac:dyDescent="0.25">
      <c r="A44" s="92"/>
      <c r="B44" s="97" t="inlineStr">
        <is>
          <t xml:space="preserve">B</t>
        </is>
      </c>
      <c r="C44" s="96" t="inlineStr">
        <is>
          <t xml:space="preserve">s. Unlicensed or unregistered MSB</t>
        </is>
      </c>
    </row>
    <row r="45" ht="15.75" x14ac:dyDescent="0.25">
      <c r="A45" s="92" t="inlineStr">
        <is>
          <t xml:space="preserve">X</t>
        </is>
      </c>
      <c r="B45" s="97" t="inlineStr">
        <is>
          <t xml:space="preserve">C</t>
        </is>
      </c>
      <c r="C45" s="96" t="inlineStr">
        <is>
          <t xml:space="preserve">q. Transaction(s) involving foreign high-risk jurisdiction</t>
        </is>
      </c>
    </row>
    <row r="46" ht="15.75" x14ac:dyDescent="0.25">
      <c r="A46" s="94"/>
      <c r="B46" s="110" t="inlineStr">
        <is>
          <t xml:space="preserve">D</t>
        </is>
      </c>
      <c r="C46" s="111" t="inlineStr">
        <is>
          <t xml:space="preserve">d. Elder financial exploitation</t>
        </is>
      </c>
    </row>
    <row r="47" ht="14.45" customHeight="1" x14ac:dyDescent="0.25">
      <c r="A47" s="162" t="inlineStr">
        <is>
          <t xml:space="preserve">9. What amount should be entered in SAR field 29?</t>
        </is>
      </c>
      <c r="B47" s="163"/>
      <c r="C47" s="163"/>
    </row>
    <row r="48" ht="15.75" x14ac:dyDescent="0.25">
      <c r="A48" s="92"/>
      <c r="B48" s="105" t="inlineStr">
        <is>
          <t xml:space="preserve">A</t>
        </is>
      </c>
      <c r="C48" s="107">
        <v>22085</v>
      </c>
    </row>
    <row r="49" ht="15.75" x14ac:dyDescent="0.25">
      <c r="A49" s="92"/>
      <c r="B49" s="97" t="inlineStr">
        <is>
          <t xml:space="preserve">B</t>
        </is>
      </c>
      <c r="C49" s="103">
        <v>21950</v>
      </c>
    </row>
    <row r="50" ht="15.75" x14ac:dyDescent="0.25">
      <c r="A50" s="92" t="inlineStr">
        <is>
          <t xml:space="preserve">X</t>
        </is>
      </c>
      <c r="B50" s="97" t="inlineStr">
        <is>
          <t xml:space="preserve">C</t>
        </is>
      </c>
      <c r="C50" s="100">
        <v>44035</v>
      </c>
    </row>
    <row r="51" ht="15.75" x14ac:dyDescent="0.25">
      <c r="A51" s="94"/>
      <c r="B51" s="102" t="inlineStr">
        <is>
          <t xml:space="preserve">D</t>
        </is>
      </c>
      <c r="C51" s="104">
        <v>44305</v>
      </c>
    </row>
    <row r="52" ht="14.45" customHeight="1" x14ac:dyDescent="0.25">
      <c r="A52" s="162" t="inlineStr">
        <is>
          <t xml:space="preserve">10. Which unresolved issue is most important to the final SAR decision?</t>
        </is>
      </c>
      <c r="B52" s="163"/>
      <c r="C52" s="163"/>
    </row>
    <row r="53" ht="15.75" x14ac:dyDescent="0.25">
      <c r="A53" s="92"/>
      <c r="B53" s="97" t="inlineStr">
        <is>
          <t xml:space="preserve">A</t>
        </is>
      </c>
      <c r="C53" s="96" t="inlineStr">
        <is>
          <t xml:space="preserve">The customer purchased groceries at more than one merchant</t>
        </is>
      </c>
    </row>
    <row r="54" ht="30" x14ac:dyDescent="0.25">
      <c r="A54" s="92"/>
      <c r="B54" s="105" t="inlineStr">
        <is>
          <t xml:space="preserve">B</t>
        </is>
      </c>
      <c r="C54" s="106" t="inlineStr">
        <is>
          <t xml:space="preserve">The savings account was opened after the DDA</t>
        </is>
      </c>
    </row>
    <row r="55" ht="30" x14ac:dyDescent="0.25">
      <c r="A55" s="92"/>
      <c r="B55" s="97" t="inlineStr">
        <is>
          <t xml:space="preserve">C</t>
        </is>
      </c>
      <c r="C55" s="96" t="inlineStr">
        <is>
          <t xml:space="preserve">The customer received weekly payroll from the listed employer</t>
        </is>
      </c>
    </row>
    <row r="56" ht="30" x14ac:dyDescent="0.25">
      <c r="A56" s="94" t="inlineStr">
        <is>
          <t xml:space="preserve">X</t>
        </is>
      </c>
      <c r="B56" s="102" t="inlineStr">
        <is>
          <t xml:space="preserve">D</t>
        </is>
      </c>
      <c r="C56" s="101" t="inlineStr">
        <is>
          <t xml:space="preserve">The source and purpose of the P2P funds and the purpose of the wires to Istmo Meridian Trading Corp. in Panama are not documented</t>
        </is>
      </c>
    </row>
  </sheetData>
  <mergeCells count="12">
    <mergeCell ref="A20:C20"/>
    <mergeCell ref="A1:C1"/>
    <mergeCell ref="A2:C2"/>
    <mergeCell ref="A5:C5"/>
    <mergeCell ref="A10:C10"/>
    <mergeCell ref="A15:C15"/>
    <mergeCell ref="A47:C47"/>
    <mergeCell ref="A52:C52"/>
    <mergeCell ref="A25:C25"/>
    <mergeCell ref="A30:C30"/>
    <mergeCell ref="A36:C36"/>
    <mergeCell ref="A42:C42"/>
  </mergeCells>
  <conditionalFormatting sqref="A5:A5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11:A14 A16:A18 A21:A23 A26:A29 A31:A34 A37:A40 A43:A46 A48:A51 A53:A56"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2.xml><?xml version="1.0" encoding="utf-8"?>
<ds:datastoreItem xmlns:ds="http://schemas.openxmlformats.org/officeDocument/2006/customXml" ds:itemID="{7C2B3F50-AAED-4643-AF0B-E713F9D3096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Investigation Guide</vt:lpstr>
      <vt:lpstr>Party &amp; Accounts Details</vt:lpstr>
      <vt:lpstr>Accounts</vt:lpstr>
      <vt:lpstr>Event Details</vt:lpstr>
      <vt:lpstr>Transactions</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Patel, Sapana</cp:lastModifiedBy>
  <cp:revision/>
  <dcterms:created xsi:type="dcterms:W3CDTF">2025-10-15T19:50:31Z</dcterms:created>
  <dcterms:modified xsi:type="dcterms:W3CDTF">2026-09-29T20:49:22Z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